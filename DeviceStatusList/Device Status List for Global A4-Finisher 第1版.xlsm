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37E998C4-C9E5-D4B9-71C8-EB1FF731991C}"/>
  <workbookPr codeName="ThisWorkbook"/>
  <bookViews>
    <workbookView xWindow="-15" yWindow="5055" windowWidth="17340" windowHeight="5115" tabRatio="817" activeTab="1"/>
  </bookViews>
  <sheets>
    <sheet name="改定履歴" sheetId="1" r:id="rId1"/>
    <sheet name="Global A4-Finisher" sheetId="19" r:id="rId2"/>
    <sheet name="ソースコード生成情報" sheetId="30" r:id="rId3"/>
  </sheets>
  <definedNames>
    <definedName name="_xlnm.Print_Area" localSheetId="1">'Global A4-Finisher'!$A:$H</definedName>
    <definedName name="_xlnm.Print_Titles" localSheetId="1">'Global A4-Finisher'!$1:$2</definedName>
    <definedName name="Z_1E963BCB_C872_43C1_8D9D_F267F7593BFE_.wvu.Cols" localSheetId="1" hidden="1">'Global A4-Finisher'!$B:$B</definedName>
    <definedName name="Z_1E963BCB_C872_43C1_8D9D_F267F7593BFE_.wvu.PrintArea" localSheetId="1" hidden="1">'Global A4-Finisher'!$A$1:$H$2</definedName>
    <definedName name="Z_1E963BCB_C872_43C1_8D9D_F267F7593BFE_.wvu.PrintTitles" localSheetId="1" hidden="1">'Global A4-Finisher'!$1:$2</definedName>
    <definedName name="Z_46916BE6_7C52_4940_B115_7FE49827A0C1_.wvu.Cols" localSheetId="1" hidden="1">'Global A4-Finisher'!$B:$B</definedName>
    <definedName name="Z_46916BE6_7C52_4940_B115_7FE49827A0C1_.wvu.PrintArea" localSheetId="1" hidden="1">'Global A4-Finisher'!$A$1:$H$2</definedName>
    <definedName name="Z_46916BE6_7C52_4940_B115_7FE49827A0C1_.wvu.PrintTitles" localSheetId="1" hidden="1">'Global A4-Finisher'!$1:$2</definedName>
    <definedName name="Z_E4C991CA_FAFB_41B5_B518_3DB5412FBD7B_.wvu.Cols" localSheetId="1" hidden="1">'Global A4-Finisher'!$B:$B</definedName>
    <definedName name="Z_E4C991CA_FAFB_41B5_B518_3DB5412FBD7B_.wvu.PrintArea" localSheetId="1" hidden="1">'Global A4-Finisher'!$A$1:$H$2</definedName>
    <definedName name="Z_E4C991CA_FAFB_41B5_B518_3DB5412FBD7B_.wvu.PrintTitles" localSheetId="1" hidden="1">'Global A4-Finisher'!$1:$2</definedName>
  </definedNames>
  <calcPr calcId="125725"/>
  <customWorkbookViews>
    <customWorkbookView name="User - 個人用ビュー" guid="{1E963BCB-C872-43C1-8D9D-F267F7593BFE}" mergeInterval="0" personalView="1" maximized="1" xWindow="1" yWindow="1" windowWidth="1152" windowHeight="676" tabRatio="817" activeSheetId="6"/>
    <customWorkbookView name="Takaaki SARUKI - 個人用ビュー" guid="{E4C991CA-FAFB-41B5-B518-3DB5412FBD7B}" mergeInterval="0" personalView="1" maximized="1" xWindow="1" yWindow="1" windowWidth="1519" windowHeight="969" tabRatio="817" activeSheetId="4"/>
    <customWorkbookView name="User  - 個人用ビュー" guid="{46916BE6-7C52-4940-B115-7FE49827A0C1}" mergeInterval="0" personalView="1" maximized="1" xWindow="1" yWindow="1" windowWidth="1024" windowHeight="584" tabRatio="817" activeSheetId="1"/>
  </customWorkbookViews>
</workbook>
</file>

<file path=xl/calcChain.xml><?xml version="1.0" encoding="utf-8"?>
<calcChain xmlns="http://schemas.openxmlformats.org/spreadsheetml/2006/main">
  <c r="A35" i="19"/>
  <c r="A33"/>
  <c r="A47"/>
  <c r="A62" l="1"/>
  <c r="A60" l="1"/>
  <c r="A51"/>
  <c r="A53"/>
  <c r="A41"/>
  <c r="A39"/>
  <c r="A37"/>
  <c r="A29"/>
  <c r="A25"/>
  <c r="A27"/>
  <c r="A23"/>
  <c r="A49" l="1"/>
  <c r="A7" l="1"/>
  <c r="A9"/>
  <c r="A11"/>
  <c r="A13"/>
  <c r="A15"/>
  <c r="A17"/>
  <c r="A19"/>
  <c r="A21"/>
  <c r="A31"/>
  <c r="A43"/>
  <c r="A45"/>
  <c r="A64"/>
  <c r="A56"/>
  <c r="A3"/>
  <c r="A5"/>
</calcChain>
</file>

<file path=xl/comments1.xml><?xml version="1.0" encoding="utf-8"?>
<comments xmlns="http://schemas.openxmlformats.org/spreadsheetml/2006/main">
  <authors>
    <author>User</author>
    <author>fxkrnd</author>
  </authors>
  <commentList>
    <comment ref="L2" authorId="0">
      <text>
        <r>
          <rPr>
            <b/>
            <sz val="9"/>
            <color indexed="81"/>
            <rFont val="ＭＳ Ｐゴシック"/>
            <family val="3"/>
            <charset val="128"/>
          </rPr>
          <t>マクロ実行時に記入されます</t>
        </r>
      </text>
    </comment>
    <comment ref="O2" authorId="0">
      <text>
        <r>
          <rPr>
            <b/>
            <sz val="9"/>
            <color indexed="81"/>
            <rFont val="ＭＳ Ｐゴシック"/>
            <family val="3"/>
            <charset val="128"/>
          </rPr>
          <t>マクロ実行時に記入されます</t>
        </r>
      </text>
    </comment>
    <comment ref="Q2" authorId="0">
      <text>
        <r>
          <rPr>
            <b/>
            <sz val="9"/>
            <color indexed="81"/>
            <rFont val="ＭＳ Ｐゴシック"/>
            <family val="3"/>
            <charset val="128"/>
          </rPr>
          <t>0の場合はNG Conditionがないことを示す</t>
        </r>
      </text>
    </comment>
    <comment ref="W2" authorId="0">
      <text>
        <r>
          <rPr>
            <b/>
            <sz val="9"/>
            <color indexed="81"/>
            <rFont val="ＭＳ Ｐゴシック"/>
            <family val="3"/>
            <charset val="128"/>
          </rPr>
          <t>Status Valueがこの値以上であればPop Upで表示される。
0の場合はどんなStatus Valueが通知されても表示されない。</t>
        </r>
      </text>
    </comment>
    <comment ref="X2" authorId="0">
      <text>
        <r>
          <rPr>
            <b/>
            <sz val="9"/>
            <color indexed="81"/>
            <rFont val="ＭＳ Ｐゴシック"/>
            <family val="3"/>
            <charset val="128"/>
          </rPr>
          <t>Status Valueがこの値以上であればActionが実行される。
0の場合はどんなStatus Valueが通知されてもN/A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2" authorId="0">
      <text>
        <r>
          <rPr>
            <b/>
            <sz val="9"/>
            <color indexed="81"/>
            <rFont val="ＭＳ Ｐゴシック"/>
            <family val="3"/>
            <charset val="128"/>
          </rPr>
          <t>0:NA
1:None
2:CD
3:SD</t>
        </r>
      </text>
    </comment>
    <comment ref="F52" authorId="0">
      <text>
        <r>
          <rPr>
            <b/>
            <sz val="9"/>
            <color indexed="81"/>
            <rFont val="ＭＳ Ｐゴシック"/>
            <family val="3"/>
            <charset val="128"/>
          </rPr>
          <t>Cont: 024-977</t>
        </r>
      </text>
    </comment>
    <comment ref="F54" authorId="1">
      <text>
        <r>
          <rPr>
            <sz val="9"/>
            <color indexed="81"/>
            <rFont val="ＭＳ Ｐゴシック"/>
            <family val="3"/>
            <charset val="128"/>
          </rPr>
          <t xml:space="preserve">12-405
</t>
        </r>
      </text>
    </comment>
    <comment ref="F55" authorId="0">
      <text>
        <r>
          <rPr>
            <b/>
            <sz val="9"/>
            <color indexed="81"/>
            <rFont val="ＭＳ Ｐゴシック"/>
            <family val="3"/>
            <charset val="128"/>
          </rPr>
          <t>024-979</t>
        </r>
      </text>
    </comment>
    <comment ref="F57" authorId="0">
      <text>
        <r>
          <rPr>
            <b/>
            <sz val="9"/>
            <color indexed="81"/>
            <rFont val="ＭＳ Ｐゴシック"/>
            <family val="3"/>
            <charset val="128"/>
          </rPr>
          <t>024-980</t>
        </r>
      </text>
    </comment>
    <comment ref="F58" authorId="0">
      <text>
        <r>
          <rPr>
            <b/>
            <sz val="9"/>
            <color indexed="81"/>
            <rFont val="ＭＳ Ｐゴシック"/>
            <family val="3"/>
            <charset val="128"/>
          </rPr>
          <t>024-916</t>
        </r>
      </text>
    </comment>
    <comment ref="F59" authorId="0">
      <text>
        <r>
          <rPr>
            <b/>
            <sz val="9"/>
            <color indexed="81"/>
            <rFont val="ＭＳ Ｐゴシック"/>
            <family val="3"/>
            <charset val="128"/>
          </rPr>
          <t>024-917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61" authorId="0">
      <text>
        <r>
          <rPr>
            <b/>
            <sz val="9"/>
            <color indexed="81"/>
            <rFont val="ＭＳ Ｐゴシック"/>
            <family val="3"/>
            <charset val="128"/>
          </rPr>
          <t>024-982</t>
        </r>
      </text>
    </comment>
    <comment ref="F63" authorId="0">
      <text>
        <r>
          <rPr>
            <b/>
            <sz val="9"/>
            <color indexed="81"/>
            <rFont val="ＭＳ Ｐゴシック"/>
            <family val="3"/>
            <charset val="128"/>
          </rPr>
          <t>024-976</t>
        </r>
      </text>
    </comment>
  </commentList>
</comments>
</file>

<file path=xl/sharedStrings.xml><?xml version="1.0" encoding="utf-8"?>
<sst xmlns="http://schemas.openxmlformats.org/spreadsheetml/2006/main" count="357" uniqueCount="161">
  <si>
    <t>Status Name</t>
    <phoneticPr fontId="4"/>
  </si>
  <si>
    <t>Description</t>
    <phoneticPr fontId="4"/>
  </si>
  <si>
    <t>Chain-Link</t>
    <phoneticPr fontId="4"/>
  </si>
  <si>
    <t>I/F Module</t>
    <phoneticPr fontId="4"/>
  </si>
  <si>
    <t>0 = Not Occur</t>
  </si>
  <si>
    <t>1 = Occur</t>
  </si>
  <si>
    <t>改訂日</t>
    <rPh sb="0" eb="2">
      <t>カイテイ</t>
    </rPh>
    <rPh sb="2" eb="3">
      <t>ビ</t>
    </rPh>
    <phoneticPr fontId="1"/>
  </si>
  <si>
    <t>改訂内容</t>
    <rPh sb="0" eb="2">
      <t>カイテイ</t>
    </rPh>
    <rPh sb="2" eb="4">
      <t>ナイヨウ</t>
    </rPh>
    <phoneticPr fontId="1"/>
  </si>
  <si>
    <t>Device Controller Information Notify / Fault Causal Sheet</t>
    <phoneticPr fontId="1"/>
  </si>
  <si>
    <t>Supplement</t>
    <phoneticPr fontId="1"/>
  </si>
  <si>
    <t>Status ID
(DEC)</t>
    <phoneticPr fontId="4"/>
  </si>
  <si>
    <t>Status ID</t>
    <phoneticPr fontId="1"/>
  </si>
  <si>
    <r>
      <rPr>
        <sz val="11"/>
        <rFont val="HG丸ｺﾞｼｯｸM-PRO"/>
        <family val="3"/>
        <charset val="128"/>
      </rPr>
      <t>‐</t>
    </r>
    <phoneticPr fontId="1"/>
  </si>
  <si>
    <t>Finisher Software Design Information</t>
    <phoneticPr fontId="1"/>
  </si>
  <si>
    <t>I/F Relay Dev Cont Send</t>
    <phoneticPr fontId="1"/>
  </si>
  <si>
    <r>
      <rPr>
        <sz val="11"/>
        <rFont val="HG丸ｺﾞｼｯｸM-PRO"/>
        <family val="3"/>
        <charset val="128"/>
      </rPr>
      <t>‐</t>
    </r>
  </si>
  <si>
    <t>Local Fail</t>
  </si>
  <si>
    <t>Category</t>
    <phoneticPr fontId="1"/>
  </si>
  <si>
    <t>Subsystem Fail</t>
  </si>
  <si>
    <t>Jam</t>
  </si>
  <si>
    <t>Interlock</t>
  </si>
  <si>
    <t>Free</t>
  </si>
  <si>
    <r>
      <t>Finisher Download Mode Fail</t>
    </r>
    <r>
      <rPr>
        <sz val="11"/>
        <rFont val="HG丸ｺﾞｼｯｸM-PRO"/>
        <family val="3"/>
        <charset val="128"/>
      </rPr>
      <t>の発生状態を示す。</t>
    </r>
    <phoneticPr fontId="1"/>
  </si>
  <si>
    <r>
      <t>StaticJam</t>
    </r>
    <r>
      <rPr>
        <sz val="11"/>
        <rFont val="HG丸ｺﾞｼｯｸM-PRO"/>
        <family val="3"/>
        <charset val="128"/>
      </rPr>
      <t>検知タイミングにて、</t>
    </r>
    <r>
      <rPr>
        <sz val="11"/>
        <rFont val="Xerox Sans"/>
        <family val="3"/>
      </rPr>
      <t>Compile Exit Sensor</t>
    </r>
    <r>
      <rPr>
        <sz val="11"/>
        <rFont val="HG丸ｺﾞｼｯｸM-PRO"/>
        <family val="3"/>
        <charset val="128"/>
      </rPr>
      <t>の用紙検知ジャムの発生状態を示す。</t>
    </r>
    <phoneticPr fontId="1"/>
  </si>
  <si>
    <r>
      <t>Stacker Tray Fail</t>
    </r>
    <r>
      <rPr>
        <sz val="11"/>
        <rFont val="HG丸ｺﾞｼｯｸM-PRO"/>
        <family val="3"/>
        <charset val="128"/>
      </rPr>
      <t>の発生状態を示す。</t>
    </r>
    <rPh sb="18" eb="20">
      <t>ハッセイ</t>
    </rPh>
    <rPh sb="20" eb="22">
      <t>ジョウタイ</t>
    </rPh>
    <rPh sb="23" eb="24">
      <t>シメ</t>
    </rPh>
    <phoneticPr fontId="1"/>
  </si>
  <si>
    <r>
      <t>Stacker Stapler</t>
    </r>
    <r>
      <rPr>
        <sz val="11"/>
        <rFont val="HG丸ｺﾞｼｯｸM-PRO"/>
        <family val="3"/>
        <charset val="128"/>
      </rPr>
      <t>針残量を示す。</t>
    </r>
    <rPh sb="15" eb="16">
      <t>ハリ</t>
    </rPh>
    <rPh sb="16" eb="18">
      <t>ザンリョウ</t>
    </rPh>
    <rPh sb="19" eb="20">
      <t>シメ</t>
    </rPh>
    <phoneticPr fontId="1"/>
  </si>
  <si>
    <r>
      <t>Stacker Tray</t>
    </r>
    <r>
      <rPr>
        <sz val="11"/>
        <rFont val="HG丸ｺﾞｼｯｸM-PRO"/>
        <family val="3"/>
        <charset val="128"/>
      </rPr>
      <t>の</t>
    </r>
    <r>
      <rPr>
        <sz val="11"/>
        <rFont val="Xerox Sans"/>
        <family val="3"/>
      </rPr>
      <t>Full Stack</t>
    </r>
    <r>
      <rPr>
        <sz val="11"/>
        <rFont val="HG丸ｺﾞｼｯｸM-PRO"/>
        <family val="3"/>
        <charset val="128"/>
      </rPr>
      <t>発生有無を示す。</t>
    </r>
    <rPh sb="23" eb="25">
      <t>ハッセイ</t>
    </rPh>
    <rPh sb="25" eb="27">
      <t>ウム</t>
    </rPh>
    <rPh sb="28" eb="29">
      <t>シメ</t>
    </rPh>
    <phoneticPr fontId="1"/>
  </si>
  <si>
    <r>
      <t>Scratch Sheet Compile</t>
    </r>
    <r>
      <rPr>
        <sz val="11"/>
        <rFont val="HG丸ｺﾞｼｯｸM-PRO"/>
        <family val="3"/>
        <charset val="128"/>
      </rPr>
      <t>の発生有無を示す。</t>
    </r>
    <rPh sb="22" eb="24">
      <t>ハッセイ</t>
    </rPh>
    <rPh sb="24" eb="26">
      <t>ウム</t>
    </rPh>
    <rPh sb="27" eb="28">
      <t>シメ</t>
    </rPh>
    <phoneticPr fontId="1"/>
  </si>
  <si>
    <t>Device Status No. Name</t>
    <phoneticPr fontId="1"/>
  </si>
  <si>
    <t>NG Cond
Thresh</t>
    <phoneticPr fontId="1"/>
  </si>
  <si>
    <t>0 = Not Occur</t>
    <phoneticPr fontId="1"/>
  </si>
  <si>
    <t>1 = Not Ready</t>
    <phoneticPr fontId="1"/>
  </si>
  <si>
    <r>
      <rPr>
        <sz val="11"/>
        <rFont val="HG丸ｺﾞｼｯｸM-PRO"/>
        <family val="3"/>
        <charset val="128"/>
      </rPr>
      <t>‐</t>
    </r>
    <phoneticPr fontId="1"/>
  </si>
  <si>
    <t>1 = Occur</t>
    <phoneticPr fontId="1"/>
  </si>
  <si>
    <t>0 = Close</t>
    <phoneticPr fontId="1"/>
  </si>
  <si>
    <t>1 = Open</t>
    <phoneticPr fontId="1"/>
  </si>
  <si>
    <t>0 = Ready</t>
    <phoneticPr fontId="1"/>
  </si>
  <si>
    <r>
      <rPr>
        <sz val="11"/>
        <rFont val="HG丸ｺﾞｼｯｸM-PRO"/>
        <family val="3"/>
        <charset val="128"/>
      </rPr>
      <t>‐</t>
    </r>
    <phoneticPr fontId="4"/>
  </si>
  <si>
    <t>0 = Not Full</t>
    <phoneticPr fontId="1"/>
  </si>
  <si>
    <t>1 = Full</t>
    <phoneticPr fontId="1"/>
  </si>
  <si>
    <t>2 = Mix Size Full</t>
    <phoneticPr fontId="1"/>
  </si>
  <si>
    <t>3 = Set Over Count</t>
    <phoneticPr fontId="1"/>
  </si>
  <si>
    <r>
      <t>Compile Exit Sensor</t>
    </r>
    <r>
      <rPr>
        <sz val="11"/>
        <rFont val="HG丸ｺﾞｼｯｸM-PRO"/>
        <family val="3"/>
        <charset val="128"/>
      </rPr>
      <t>を規定タイミングにて</t>
    </r>
    <r>
      <rPr>
        <sz val="11"/>
        <rFont val="Xerox Sans"/>
        <family val="3"/>
      </rPr>
      <t>ON</t>
    </r>
    <r>
      <rPr>
        <sz val="11"/>
        <rFont val="HG丸ｺﾞｼｯｸM-PRO"/>
        <family val="3"/>
        <charset val="128"/>
      </rPr>
      <t xml:space="preserve">しないジャムの発生状態を示す。
</t>
    </r>
    <phoneticPr fontId="1"/>
  </si>
  <si>
    <r>
      <t>Finisher NVM Read/Write Fail</t>
    </r>
    <r>
      <rPr>
        <sz val="11"/>
        <rFont val="HG丸ｺﾞｼｯｸM-PRO"/>
        <family val="3"/>
        <charset val="128"/>
      </rPr>
      <t>の発生状態を示す。</t>
    </r>
    <phoneticPr fontId="1"/>
  </si>
  <si>
    <r>
      <t xml:space="preserve">Status
</t>
    </r>
    <r>
      <rPr>
        <sz val="11"/>
        <color indexed="12"/>
        <rFont val="Xerox Sans"/>
        <family val="3"/>
      </rPr>
      <t>Blue Character is Default Status</t>
    </r>
    <phoneticPr fontId="4"/>
  </si>
  <si>
    <t>Taro Fuji</t>
    <phoneticPr fontId="1"/>
  </si>
  <si>
    <t>Default Status</t>
    <phoneticPr fontId="1"/>
  </si>
  <si>
    <t>Process Stop Type
in NG Condition</t>
    <phoneticPr fontId="1"/>
  </si>
  <si>
    <t>Device Status Category ID</t>
    <phoneticPr fontId="1"/>
  </si>
  <si>
    <r>
      <rPr>
        <sz val="11"/>
        <color theme="1"/>
        <rFont val="HG丸ｺﾞｼｯｸM-PRO"/>
        <family val="3"/>
        <charset val="128"/>
      </rPr>
      <t>作成者</t>
    </r>
    <rPh sb="0" eb="3">
      <t>サクセイシャ</t>
    </rPh>
    <phoneticPr fontId="1"/>
  </si>
  <si>
    <r>
      <t>Device Status</t>
    </r>
    <r>
      <rPr>
        <b/>
        <sz val="11"/>
        <color theme="1"/>
        <rFont val="HG丸ｺﾞｼｯｸM-PRO"/>
        <family val="3"/>
        <charset val="128"/>
      </rPr>
      <t>管理ソースコード関連</t>
    </r>
    <rPh sb="13" eb="15">
      <t>カンリ</t>
    </rPh>
    <rPh sb="21" eb="23">
      <t>カンレン</t>
    </rPh>
    <phoneticPr fontId="1"/>
  </si>
  <si>
    <r>
      <t>Device Status No.</t>
    </r>
    <r>
      <rPr>
        <sz val="11"/>
        <color theme="1"/>
        <rFont val="HG丸ｺﾞｼｯｸM-PRO"/>
        <family val="3"/>
        <charset val="128"/>
      </rPr>
      <t>定義ファイル名</t>
    </r>
    <rPh sb="17" eb="19">
      <t>テイギ</t>
    </rPh>
    <rPh sb="23" eb="24">
      <t>メイ</t>
    </rPh>
    <phoneticPr fontId="1"/>
  </si>
  <si>
    <r>
      <t>Device Status No.</t>
    </r>
    <r>
      <rPr>
        <sz val="11"/>
        <color theme="1"/>
        <rFont val="HG丸ｺﾞｼｯｸM-PRO"/>
        <family val="3"/>
        <charset val="128"/>
      </rPr>
      <t>付加初期番号</t>
    </r>
    <rPh sb="17" eb="19">
      <t>フカ</t>
    </rPh>
    <rPh sb="19" eb="21">
      <t>ショキ</t>
    </rPh>
    <rPh sb="21" eb="23">
      <t>バンゴウ</t>
    </rPh>
    <phoneticPr fontId="1"/>
  </si>
  <si>
    <r>
      <t>Device Status Instance</t>
    </r>
    <r>
      <rPr>
        <sz val="11"/>
        <color theme="1"/>
        <rFont val="HG丸ｺﾞｼｯｸM-PRO"/>
        <family val="3"/>
        <charset val="128"/>
      </rPr>
      <t>定義ファイル名</t>
    </r>
    <phoneticPr fontId="1"/>
  </si>
  <si>
    <r>
      <rPr>
        <b/>
        <sz val="11"/>
        <color theme="1"/>
        <rFont val="HG丸ｺﾞｼｯｸM-PRO"/>
        <family val="3"/>
        <charset val="128"/>
      </rPr>
      <t>用紙管理ソースコード関連</t>
    </r>
    <rPh sb="0" eb="2">
      <t>ヨウシ</t>
    </rPh>
    <rPh sb="2" eb="4">
      <t>カンリ</t>
    </rPh>
    <rPh sb="10" eb="12">
      <t>カンレン</t>
    </rPh>
    <phoneticPr fontId="1"/>
  </si>
  <si>
    <t>搬送用紙停止仕様データ定義ファイル名</t>
    <rPh sb="0" eb="2">
      <t>ハンソウ</t>
    </rPh>
    <rPh sb="2" eb="4">
      <t>ヨウシ</t>
    </rPh>
    <rPh sb="4" eb="6">
      <t>テイシ</t>
    </rPh>
    <rPh sb="6" eb="8">
      <t>シヨウ</t>
    </rPh>
    <rPh sb="11" eb="13">
      <t>テイギ</t>
    </rPh>
    <rPh sb="17" eb="18">
      <t>メイ</t>
    </rPh>
    <phoneticPr fontId="1"/>
  </si>
  <si>
    <t>Purge Possibility</t>
    <phoneticPr fontId="1"/>
  </si>
  <si>
    <t>NG Path Sensor</t>
    <phoneticPr fontId="1"/>
  </si>
  <si>
    <t>NG Output Destination</t>
    <phoneticPr fontId="1"/>
  </si>
  <si>
    <t>DeviceStatusNo</t>
    <phoneticPr fontId="1"/>
  </si>
  <si>
    <t>DeviceStatusInstance</t>
    <phoneticPr fontId="1"/>
  </si>
  <si>
    <t>StopSheetSpec</t>
    <phoneticPr fontId="1"/>
  </si>
  <si>
    <t>DS No.</t>
    <phoneticPr fontId="1"/>
  </si>
  <si>
    <t>IOT Simulator Information</t>
    <phoneticPr fontId="1"/>
  </si>
  <si>
    <t>Action</t>
  </si>
  <si>
    <t>Pop Up Thresh</t>
    <phoneticPr fontId="1"/>
  </si>
  <si>
    <t>Action Thresh</t>
  </si>
  <si>
    <t>Related Device
(Condition NG Device)</t>
    <phoneticPr fontId="1"/>
  </si>
  <si>
    <t>DS Sub No.</t>
    <phoneticPr fontId="1"/>
  </si>
  <si>
    <t>Folder NG</t>
    <phoneticPr fontId="1"/>
  </si>
  <si>
    <t>作成</t>
    <rPh sb="0" eb="2">
      <t>サクセイ</t>
    </rPh>
    <phoneticPr fontId="1"/>
  </si>
  <si>
    <t>B</t>
    <phoneticPr fontId="1"/>
  </si>
  <si>
    <t xml:space="preserve">Global A4-Fin Download Mode Fail </t>
    <phoneticPr fontId="1"/>
  </si>
  <si>
    <t>Global A4-Fin Set Eject Jam</t>
  </si>
  <si>
    <t>Global A4-Fin NVM Read/Write Fail</t>
  </si>
  <si>
    <t>Global A4-Fin  Initialization State</t>
  </si>
  <si>
    <t>Global A4-Fin Stacker Tray Full Stack</t>
  </si>
  <si>
    <t>Global A4-Fin Scratch Sheet Compile</t>
  </si>
  <si>
    <t>Global A4-Fin Compile Tray Exit Sensor ON Jam</t>
    <phoneticPr fontId="1"/>
  </si>
  <si>
    <t xml:space="preserve">Global A4-Fin Compile Tray Exit Sensor OFF Jam </t>
    <phoneticPr fontId="1"/>
  </si>
  <si>
    <r>
      <t xml:space="preserve">Global A4-Fin </t>
    </r>
    <r>
      <rPr>
        <sz val="11"/>
        <rFont val="Xerox Sans"/>
        <family val="3"/>
      </rPr>
      <t>Static Jam</t>
    </r>
    <phoneticPr fontId="1"/>
  </si>
  <si>
    <r>
      <t>Eject</t>
    </r>
    <r>
      <rPr>
        <sz val="11"/>
        <rFont val="HG丸ｺﾞｼｯｸM-PRO"/>
        <family val="3"/>
        <charset val="128"/>
      </rPr>
      <t>排出時</t>
    </r>
    <r>
      <rPr>
        <sz val="11"/>
        <rFont val="Xerox Sans"/>
        <family val="3"/>
      </rPr>
      <t xml:space="preserve">Eject Belt Home Sensor </t>
    </r>
    <r>
      <rPr>
        <sz val="11"/>
        <rFont val="HG丸ｺﾞｼｯｸM-PRO"/>
        <family val="3"/>
        <charset val="128"/>
      </rPr>
      <t>を規定タイミングにて</t>
    </r>
    <r>
      <rPr>
        <sz val="11"/>
        <rFont val="Xerox Sans"/>
        <family val="3"/>
      </rPr>
      <t>OFF</t>
    </r>
    <r>
      <rPr>
        <sz val="11"/>
        <rFont val="HG丸ｺﾞｼｯｸM-PRO"/>
        <family val="3"/>
        <charset val="128"/>
      </rPr>
      <t xml:space="preserve">しないジャムの発生状態を示す。
</t>
    </r>
    <phoneticPr fontId="1"/>
  </si>
  <si>
    <t>Global A4-Fin Right Tamper Home Sensor ON Fail</t>
    <phoneticPr fontId="1"/>
  </si>
  <si>
    <r>
      <t>Right Tamper Home Sensor ON Fail</t>
    </r>
    <r>
      <rPr>
        <sz val="11"/>
        <rFont val="HG丸ｺﾞｼｯｸM-PRO"/>
        <family val="3"/>
        <charset val="128"/>
      </rPr>
      <t>の発生状態を示す。</t>
    </r>
    <rPh sb="33" eb="35">
      <t>ハッセイ</t>
    </rPh>
    <rPh sb="35" eb="37">
      <t>ジョウタイ</t>
    </rPh>
    <rPh sb="38" eb="39">
      <t>シメ</t>
    </rPh>
    <phoneticPr fontId="1"/>
  </si>
  <si>
    <t>Global A4-Fin Right Tamper Home Sensor OFF Fail</t>
    <phoneticPr fontId="1"/>
  </si>
  <si>
    <r>
      <t>Right Tamper Home Sensor OFF Fail</t>
    </r>
    <r>
      <rPr>
        <sz val="11"/>
        <rFont val="HG丸ｺﾞｼｯｸM-PRO"/>
        <family val="3"/>
        <charset val="128"/>
      </rPr>
      <t>の発生状態を示す。</t>
    </r>
    <rPh sb="34" eb="36">
      <t>ハッセイ</t>
    </rPh>
    <rPh sb="36" eb="38">
      <t>ジョウタイ</t>
    </rPh>
    <rPh sb="39" eb="40">
      <t>シメ</t>
    </rPh>
    <phoneticPr fontId="1"/>
  </si>
  <si>
    <t>Global A4-Fin Left Tamper Home Sensor ON Fail</t>
    <phoneticPr fontId="1"/>
  </si>
  <si>
    <r>
      <t>Left Tamper Home Sensor ON Fail</t>
    </r>
    <r>
      <rPr>
        <sz val="11"/>
        <rFont val="HG丸ｺﾞｼｯｸM-PRO"/>
        <family val="3"/>
        <charset val="128"/>
      </rPr>
      <t>の発生状態を示す。</t>
    </r>
    <phoneticPr fontId="1"/>
  </si>
  <si>
    <t>Global A4-Fin Left Tamper Home Sensor OFF Fail</t>
    <phoneticPr fontId="1"/>
  </si>
  <si>
    <r>
      <t>Left Tamper Home Sensor OFF Fail</t>
    </r>
    <r>
      <rPr>
        <sz val="11"/>
        <rFont val="HG丸ｺﾞｼｯｸM-PRO"/>
        <family val="3"/>
        <charset val="128"/>
      </rPr>
      <t>の発生状態を示す。</t>
    </r>
    <rPh sb="33" eb="35">
      <t>ハッセイ</t>
    </rPh>
    <rPh sb="35" eb="37">
      <t>ジョウタイ</t>
    </rPh>
    <rPh sb="38" eb="39">
      <t>シメ</t>
    </rPh>
    <phoneticPr fontId="1"/>
  </si>
  <si>
    <t>Global A4-Fin Stapler Fail</t>
    <phoneticPr fontId="1"/>
  </si>
  <si>
    <r>
      <t>Stapler Fail</t>
    </r>
    <r>
      <rPr>
        <sz val="11"/>
        <rFont val="HG丸ｺﾞｼｯｸM-PRO"/>
        <family val="3"/>
        <charset val="128"/>
      </rPr>
      <t>の発生状態を示す。</t>
    </r>
  </si>
  <si>
    <t>Global A4-Fin Stacker Tray Fail</t>
    <phoneticPr fontId="1"/>
  </si>
  <si>
    <r>
      <t>Stacker Tray Upper Limit Fail</t>
    </r>
    <r>
      <rPr>
        <sz val="11"/>
        <rFont val="HG丸ｺﾞｼｯｸM-PRO"/>
        <family val="3"/>
        <charset val="128"/>
      </rPr>
      <t>の発生状態を示す。</t>
    </r>
    <rPh sb="30" eb="32">
      <t>ハッセイ</t>
    </rPh>
    <rPh sb="32" eb="34">
      <t>ジョウタイ</t>
    </rPh>
    <rPh sb="35" eb="36">
      <t>シメ</t>
    </rPh>
    <phoneticPr fontId="1"/>
  </si>
  <si>
    <t>Global A4-Fin Stacker Tray Upper Limit Fail</t>
    <phoneticPr fontId="1"/>
  </si>
  <si>
    <r>
      <t>Stacker Tray Lower Limit Fail</t>
    </r>
    <r>
      <rPr>
        <sz val="11"/>
        <rFont val="HG丸ｺﾞｼｯｸM-PRO"/>
        <family val="3"/>
        <charset val="128"/>
      </rPr>
      <t>の発生状態を示す。</t>
    </r>
    <rPh sb="30" eb="32">
      <t>ハッセイ</t>
    </rPh>
    <rPh sb="32" eb="34">
      <t>ジョウタイ</t>
    </rPh>
    <rPh sb="35" eb="36">
      <t>シメ</t>
    </rPh>
    <phoneticPr fontId="1"/>
  </si>
  <si>
    <t>Global A4-Fin Stacker Tray Lower Limit Fail</t>
    <phoneticPr fontId="1"/>
  </si>
  <si>
    <t>Global A4-Fin Sub-Paddle Home SNR ON Fail</t>
    <phoneticPr fontId="1"/>
  </si>
  <si>
    <t>Global A4-Fin Sub-Paddle Home SNR OFF Fail</t>
    <phoneticPr fontId="1"/>
  </si>
  <si>
    <r>
      <t>Finisher Sub-Paddle Home Sensor ON Fail</t>
    </r>
    <r>
      <rPr>
        <sz val="11"/>
        <rFont val="HG丸ｺﾞｼｯｸM-PRO"/>
        <family val="3"/>
        <charset val="128"/>
      </rPr>
      <t>の発生状態を示す。</t>
    </r>
    <phoneticPr fontId="1"/>
  </si>
  <si>
    <r>
      <t>Finisher Sub-Paddle Home Sensor OFF Fail</t>
    </r>
    <r>
      <rPr>
        <sz val="11"/>
        <rFont val="HG丸ｺﾞｼｯｸM-PRO"/>
        <family val="3"/>
        <charset val="128"/>
      </rPr>
      <t>の発生状態を示す。</t>
    </r>
    <phoneticPr fontId="1"/>
  </si>
  <si>
    <t>Global A4-Fin Staple Cover Interlock 24V Disconnect Fail</t>
    <phoneticPr fontId="1"/>
  </si>
  <si>
    <r>
      <t>Finisher Staple Cover Interlock 24V Disconnect Fail</t>
    </r>
    <r>
      <rPr>
        <sz val="11"/>
        <rFont val="HG丸ｺﾞｼｯｸM-PRO"/>
        <family val="3"/>
        <charset val="128"/>
      </rPr>
      <t>の発生状態を示す。</t>
    </r>
    <phoneticPr fontId="1"/>
  </si>
  <si>
    <t>Global A4-Fin Rear Cover Interlock Open</t>
    <phoneticPr fontId="1"/>
  </si>
  <si>
    <t>Global A4-Fin Stapler Feed Ready Fail</t>
    <phoneticPr fontId="1"/>
  </si>
  <si>
    <t>Global A4-Fin Staple Status NG</t>
    <phoneticPr fontId="1"/>
  </si>
  <si>
    <r>
      <t>Staple Status NG</t>
    </r>
    <r>
      <rPr>
        <sz val="11"/>
        <rFont val="HG丸ｺﾞｼｯｸM-PRO"/>
        <family val="3"/>
        <charset val="128"/>
      </rPr>
      <t>の発生有無を示す。</t>
    </r>
    <rPh sb="17" eb="19">
      <t>ハッセイ</t>
    </rPh>
    <rPh sb="19" eb="21">
      <t>ウム</t>
    </rPh>
    <rPh sb="22" eb="23">
      <t>シメ</t>
    </rPh>
    <phoneticPr fontId="4"/>
  </si>
  <si>
    <t>Global A4-Fin Stacke Lower Safety Warning</t>
    <phoneticPr fontId="1"/>
  </si>
  <si>
    <r>
      <t>Stacker  Lower Safety Warning</t>
    </r>
    <r>
      <rPr>
        <sz val="11"/>
        <rFont val="HG丸ｺﾞｼｯｸM-PRO"/>
        <family val="3"/>
        <charset val="128"/>
      </rPr>
      <t>の発生有無を示す。</t>
    </r>
    <rPh sb="30" eb="32">
      <t>ハッセイ</t>
    </rPh>
    <rPh sb="32" eb="34">
      <t>ウム</t>
    </rPh>
    <rPh sb="35" eb="36">
      <t>シメ</t>
    </rPh>
    <phoneticPr fontId="1"/>
  </si>
  <si>
    <r>
      <t>Global A4-Finisher</t>
    </r>
    <r>
      <rPr>
        <sz val="11"/>
        <rFont val="HG丸ｺﾞｼｯｸM-PRO"/>
        <family val="3"/>
        <charset val="128"/>
      </rPr>
      <t xml:space="preserve">のデバイス初期化動作を示す。
</t>
    </r>
    <r>
      <rPr>
        <sz val="11"/>
        <rFont val="Xerox Sans"/>
      </rPr>
      <t xml:space="preserve">(0 : </t>
    </r>
    <r>
      <rPr>
        <sz val="11"/>
        <rFont val="HG丸ｺﾞｼｯｸM-PRO"/>
        <family val="3"/>
        <charset val="128"/>
      </rPr>
      <t>初期化完了</t>
    </r>
    <r>
      <rPr>
        <sz val="11"/>
        <rFont val="Xerox Sans"/>
      </rPr>
      <t>, 1:</t>
    </r>
    <r>
      <rPr>
        <sz val="11"/>
        <rFont val="HG丸ｺﾞｼｯｸM-PRO"/>
        <family val="3"/>
        <charset val="128"/>
      </rPr>
      <t>初期化中</t>
    </r>
    <r>
      <rPr>
        <sz val="11"/>
        <rFont val="Xerox Sans"/>
      </rPr>
      <t>)</t>
    </r>
    <phoneticPr fontId="1"/>
  </si>
  <si>
    <r>
      <t>Staple Ready Sensor Fail</t>
    </r>
    <r>
      <rPr>
        <sz val="11"/>
        <rFont val="HG丸ｺﾞｼｯｸM-PRO"/>
        <family val="3"/>
        <charset val="128"/>
      </rPr>
      <t>の発生有無を示す。</t>
    </r>
    <rPh sb="25" eb="27">
      <t>ハッセイ</t>
    </rPh>
    <rPh sb="27" eb="29">
      <t>ウム</t>
    </rPh>
    <rPh sb="30" eb="31">
      <t>シメ</t>
    </rPh>
    <phoneticPr fontId="4"/>
  </si>
  <si>
    <t>‐</t>
    <phoneticPr fontId="1"/>
  </si>
  <si>
    <r>
      <t>Finisher Rear Cover Interlock Open</t>
    </r>
    <r>
      <rPr>
        <sz val="11"/>
        <rFont val="HG丸ｺﾞｼｯｸM-PRO"/>
        <family val="3"/>
        <charset val="128"/>
      </rPr>
      <t>の開閉状態を示す。</t>
    </r>
    <phoneticPr fontId="1"/>
  </si>
  <si>
    <t>Global A4-Fin Staple Supply Level</t>
    <phoneticPr fontId="1"/>
  </si>
  <si>
    <t>0 = Not Low</t>
    <phoneticPr fontId="1"/>
  </si>
  <si>
    <t>1= Near Low</t>
    <phoneticPr fontId="1"/>
  </si>
  <si>
    <t>2= Low</t>
    <phoneticPr fontId="1"/>
  </si>
  <si>
    <r>
      <t>Compile Exit Senso</t>
    </r>
    <r>
      <rPr>
        <sz val="11"/>
        <rFont val="HG丸ｺﾞｼｯｸM-PRO"/>
        <family val="3"/>
        <charset val="128"/>
      </rPr>
      <t>を規定タイミングにて</t>
    </r>
    <r>
      <rPr>
        <sz val="11"/>
        <rFont val="Xerox Sans"/>
        <family val="3"/>
      </rPr>
      <t>OFF</t>
    </r>
    <r>
      <rPr>
        <sz val="11"/>
        <rFont val="HG丸ｺﾞｼｯｸM-PRO"/>
        <family val="3"/>
        <charset val="128"/>
      </rPr>
      <t xml:space="preserve">しないジャムの発生状態を示す。
</t>
    </r>
    <phoneticPr fontId="1"/>
  </si>
  <si>
    <t>‐</t>
  </si>
  <si>
    <t>012 - 334</t>
    <phoneticPr fontId="1"/>
  </si>
  <si>
    <t>012 - 912</t>
    <phoneticPr fontId="1"/>
  </si>
  <si>
    <t>012 - 152</t>
    <phoneticPr fontId="1"/>
  </si>
  <si>
    <t>012 - 122</t>
    <phoneticPr fontId="1"/>
  </si>
  <si>
    <t>012 - 161</t>
    <phoneticPr fontId="1"/>
  </si>
  <si>
    <t>012 - 210</t>
    <phoneticPr fontId="1"/>
  </si>
  <si>
    <t>013 - 286</t>
    <phoneticPr fontId="1"/>
  </si>
  <si>
    <t>013 - 287</t>
    <phoneticPr fontId="1"/>
  </si>
  <si>
    <t>013 - 288</t>
    <phoneticPr fontId="1"/>
  </si>
  <si>
    <t>013 - 289</t>
    <phoneticPr fontId="1"/>
  </si>
  <si>
    <t>012 - 291</t>
    <phoneticPr fontId="1"/>
  </si>
  <si>
    <t>012 - 280</t>
    <phoneticPr fontId="1"/>
  </si>
  <si>
    <t>012 - 239</t>
    <phoneticPr fontId="1"/>
  </si>
  <si>
    <t>012 - 240</t>
    <phoneticPr fontId="1"/>
  </si>
  <si>
    <t>012 - 211</t>
    <phoneticPr fontId="1"/>
  </si>
  <si>
    <t>012 - 212</t>
    <phoneticPr fontId="1"/>
  </si>
  <si>
    <t>012 - 213</t>
    <phoneticPr fontId="1"/>
  </si>
  <si>
    <t>012 - 290</t>
    <phoneticPr fontId="1"/>
  </si>
  <si>
    <t>014 - 302</t>
    <phoneticPr fontId="1"/>
  </si>
  <si>
    <t>024 - 977</t>
    <phoneticPr fontId="1"/>
  </si>
  <si>
    <t>012 - 405</t>
    <phoneticPr fontId="1"/>
  </si>
  <si>
    <t>024 - 979</t>
    <phoneticPr fontId="1"/>
  </si>
  <si>
    <r>
      <t xml:space="preserve">24 </t>
    </r>
    <r>
      <rPr>
        <sz val="11"/>
        <rFont val="ＭＳ Ｐゴシック"/>
        <family val="3"/>
        <charset val="128"/>
      </rPr>
      <t>‐</t>
    </r>
    <r>
      <rPr>
        <sz val="11"/>
        <rFont val="Xerox Sans"/>
      </rPr>
      <t xml:space="preserve"> 980</t>
    </r>
    <phoneticPr fontId="1"/>
  </si>
  <si>
    <r>
      <t xml:space="preserve">24 </t>
    </r>
    <r>
      <rPr>
        <sz val="11"/>
        <rFont val="ＭＳ Ｐゴシック"/>
        <family val="3"/>
        <charset val="128"/>
      </rPr>
      <t>‐</t>
    </r>
    <r>
      <rPr>
        <sz val="11"/>
        <rFont val="Xerox Sans"/>
      </rPr>
      <t xml:space="preserve"> 916</t>
    </r>
    <phoneticPr fontId="1"/>
  </si>
  <si>
    <r>
      <t xml:space="preserve">24 </t>
    </r>
    <r>
      <rPr>
        <sz val="11"/>
        <rFont val="ＭＳ Ｐゴシック"/>
        <family val="3"/>
        <charset val="128"/>
      </rPr>
      <t>‐</t>
    </r>
    <r>
      <rPr>
        <sz val="11"/>
        <rFont val="Xerox Sans"/>
      </rPr>
      <t xml:space="preserve"> 917</t>
    </r>
    <phoneticPr fontId="1"/>
  </si>
  <si>
    <r>
      <t xml:space="preserve"> 24 </t>
    </r>
    <r>
      <rPr>
        <sz val="11"/>
        <rFont val="ＭＳ Ｐゴシック"/>
        <family val="3"/>
        <charset val="128"/>
      </rPr>
      <t>‐</t>
    </r>
    <r>
      <rPr>
        <sz val="11"/>
        <rFont val="Xerox Sans"/>
      </rPr>
      <t xml:space="preserve"> 982</t>
    </r>
    <phoneticPr fontId="1"/>
  </si>
  <si>
    <r>
      <t xml:space="preserve">24 </t>
    </r>
    <r>
      <rPr>
        <sz val="11"/>
        <rFont val="ＭＳ Ｐゴシック"/>
        <family val="3"/>
        <charset val="128"/>
      </rPr>
      <t>‐</t>
    </r>
    <r>
      <rPr>
        <sz val="11"/>
        <rFont val="Xerox Sans"/>
      </rPr>
      <t xml:space="preserve"> 976</t>
    </r>
    <phoneticPr fontId="1"/>
  </si>
  <si>
    <t>Global A4-Fin Eject Home SNR ON Fail</t>
    <phoneticPr fontId="1"/>
  </si>
  <si>
    <r>
      <t>Finisher  Eject Home SNR ON Fail</t>
    </r>
    <r>
      <rPr>
        <sz val="11"/>
        <rFont val="HG丸ｺﾞｼｯｸM-PRO"/>
        <family val="3"/>
        <charset val="128"/>
      </rPr>
      <t>の発生状態を示す。</t>
    </r>
    <phoneticPr fontId="1"/>
  </si>
  <si>
    <t>012 - 259</t>
    <phoneticPr fontId="1"/>
  </si>
  <si>
    <t>Global A4-Fin Eject Home SNR OFF Fail</t>
    <phoneticPr fontId="1"/>
  </si>
  <si>
    <r>
      <t>Finisher  Eject Home SNR OFF Fail</t>
    </r>
    <r>
      <rPr>
        <sz val="11"/>
        <rFont val="HG丸ｺﾞｼｯｸM-PRO"/>
        <family val="3"/>
        <charset val="128"/>
      </rPr>
      <t>の発生状態を示す。</t>
    </r>
    <phoneticPr fontId="1"/>
  </si>
  <si>
    <t>Cont Chain-Link</t>
    <phoneticPr fontId="1"/>
  </si>
  <si>
    <t>Global A4-Fin Staple Cover Interlock Open</t>
    <phoneticPr fontId="1"/>
  </si>
  <si>
    <r>
      <t>Finisher Staple Cover Interlock Open</t>
    </r>
    <r>
      <rPr>
        <sz val="11"/>
        <rFont val="HG丸ｺﾞｼｯｸM-PRO"/>
        <family val="3"/>
        <charset val="128"/>
      </rPr>
      <t>の開閉状態を示す。</t>
    </r>
    <phoneticPr fontId="1"/>
  </si>
  <si>
    <t>014 - 303</t>
    <phoneticPr fontId="1"/>
  </si>
  <si>
    <t>012 - 283</t>
    <phoneticPr fontId="1"/>
  </si>
  <si>
    <t>012 - 284</t>
    <phoneticPr fontId="1"/>
  </si>
  <si>
    <t>Global A4-Fin Set Clamp Home SNR  OFF Fail</t>
    <phoneticPr fontId="1"/>
  </si>
  <si>
    <r>
      <t>Finisher Set Clamp Home SNR ON Fail</t>
    </r>
    <r>
      <rPr>
        <sz val="11"/>
        <rFont val="HG丸ｺﾞｼｯｸM-PRO"/>
        <family val="3"/>
        <charset val="128"/>
      </rPr>
      <t>の発生状態を示す。</t>
    </r>
    <phoneticPr fontId="1"/>
  </si>
  <si>
    <r>
      <t>Finisher Set Clamp Home SNR  OFF Fail</t>
    </r>
    <r>
      <rPr>
        <sz val="11"/>
        <rFont val="HG丸ｺﾞｼｯｸM-PRO"/>
        <family val="3"/>
        <charset val="128"/>
      </rPr>
      <t>の発生状態を示す。</t>
    </r>
    <phoneticPr fontId="1"/>
  </si>
  <si>
    <t>Global A4-Fin Set Clamp Home SNR ON Fail</t>
    <phoneticPr fontId="1"/>
  </si>
</sst>
</file>

<file path=xl/styles.xml><?xml version="1.0" encoding="utf-8"?>
<styleSheet xmlns="http://schemas.openxmlformats.org/spreadsheetml/2006/main">
  <fonts count="1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Xerox Sans"/>
      <family val="3"/>
    </font>
    <font>
      <sz val="11"/>
      <name val="Xerox Sans"/>
      <family val="3"/>
    </font>
    <font>
      <sz val="6"/>
      <name val="ＭＳ Ｐゴシック"/>
      <family val="3"/>
      <charset val="128"/>
    </font>
    <font>
      <sz val="11"/>
      <color indexed="12"/>
      <name val="Xerox Sans"/>
      <family val="3"/>
    </font>
    <font>
      <sz val="11"/>
      <color rgb="FF0000FF"/>
      <name val="Xerox Sans"/>
      <family val="3"/>
    </font>
    <font>
      <sz val="11"/>
      <color theme="1"/>
      <name val="HG丸ｺﾞｼｯｸM-PRO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Xerox Sans"/>
      <family val="3"/>
    </font>
    <font>
      <sz val="11"/>
      <name val="HG丸ｺﾞｼｯｸM-PRO"/>
      <family val="3"/>
      <charset val="128"/>
    </font>
    <font>
      <sz val="11"/>
      <color rgb="FFFFFFCC"/>
      <name val="Xerox Sans"/>
      <family val="3"/>
    </font>
    <font>
      <sz val="9"/>
      <color indexed="8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theme="1"/>
      <name val="HG丸ｺﾞｼｯｸM-PRO"/>
      <family val="3"/>
      <charset val="128"/>
    </font>
    <font>
      <sz val="11"/>
      <name val="Xerox Sans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3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  <xf numFmtId="0" fontId="3" fillId="0" borderId="7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/>
    </xf>
    <xf numFmtId="0" fontId="3" fillId="0" borderId="11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center" vertical="top"/>
    </xf>
    <xf numFmtId="0" fontId="3" fillId="0" borderId="10" xfId="0" quotePrefix="1" applyFont="1" applyBorder="1" applyAlignment="1">
      <alignment horizontal="center" vertical="top"/>
    </xf>
    <xf numFmtId="0" fontId="7" fillId="0" borderId="3" xfId="0" applyFont="1" applyBorder="1" applyAlignment="1">
      <alignment horizontal="left" vertical="top" wrapText="1"/>
    </xf>
    <xf numFmtId="0" fontId="3" fillId="4" borderId="1" xfId="0" applyFont="1" applyFill="1" applyBorder="1" applyAlignment="1">
      <alignment horizontal="center" vertical="top"/>
    </xf>
    <xf numFmtId="0" fontId="3" fillId="0" borderId="1" xfId="0" applyFont="1" applyFill="1" applyBorder="1" applyAlignment="1">
      <alignment horizontal="center" vertical="top"/>
    </xf>
    <xf numFmtId="0" fontId="3" fillId="5" borderId="2" xfId="0" applyFont="1" applyFill="1" applyBorder="1" applyAlignment="1">
      <alignment horizontal="center" wrapText="1"/>
    </xf>
    <xf numFmtId="0" fontId="3" fillId="5" borderId="2" xfId="0" applyFont="1" applyFill="1" applyBorder="1" applyAlignment="1">
      <alignment horizontal="center"/>
    </xf>
    <xf numFmtId="0" fontId="2" fillId="0" borderId="0" xfId="0" applyFont="1" applyAlignment="1">
      <alignment horizontal="center" vertical="top"/>
    </xf>
    <xf numFmtId="0" fontId="9" fillId="0" borderId="0" xfId="0" applyFont="1">
      <alignment vertical="center"/>
    </xf>
    <xf numFmtId="0" fontId="3" fillId="0" borderId="12" xfId="0" applyFont="1" applyBorder="1" applyAlignment="1">
      <alignment horizontal="left" vertical="top" wrapText="1"/>
    </xf>
    <xf numFmtId="0" fontId="11" fillId="2" borderId="8" xfId="0" applyFont="1" applyFill="1" applyBorder="1" applyAlignment="1">
      <alignment horizontal="center"/>
    </xf>
    <xf numFmtId="0" fontId="3" fillId="0" borderId="9" xfId="0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3" fillId="0" borderId="11" xfId="0" applyFont="1" applyBorder="1" applyAlignment="1">
      <alignment horizontal="center" vertical="top"/>
    </xf>
    <xf numFmtId="0" fontId="3" fillId="3" borderId="16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top"/>
    </xf>
    <xf numFmtId="0" fontId="7" fillId="0" borderId="0" xfId="0" applyFont="1">
      <alignment vertical="center"/>
    </xf>
    <xf numFmtId="0" fontId="10" fillId="0" borderId="1" xfId="0" applyFont="1" applyBorder="1" applyAlignment="1">
      <alignment horizontal="center" vertical="top"/>
    </xf>
    <xf numFmtId="0" fontId="13" fillId="0" borderId="1" xfId="0" applyFont="1" applyBorder="1" applyAlignment="1">
      <alignment horizontal="center" vertical="top"/>
    </xf>
    <xf numFmtId="0" fontId="7" fillId="2" borderId="18" xfId="0" applyFont="1" applyFill="1" applyBorder="1" applyAlignment="1">
      <alignment horizontal="right" vertical="top"/>
    </xf>
    <xf numFmtId="0" fontId="2" fillId="2" borderId="18" xfId="0" applyFont="1" applyFill="1" applyBorder="1" applyAlignment="1">
      <alignment horizontal="right" vertical="top"/>
    </xf>
    <xf numFmtId="0" fontId="2" fillId="0" borderId="16" xfId="0" applyFont="1" applyBorder="1" applyAlignment="1">
      <alignment horizontal="left" vertical="top"/>
    </xf>
    <xf numFmtId="0" fontId="2" fillId="0" borderId="16" xfId="0" applyFont="1" applyBorder="1">
      <alignment vertical="center"/>
    </xf>
    <xf numFmtId="0" fontId="2" fillId="3" borderId="2" xfId="0" applyFont="1" applyFill="1" applyBorder="1" applyAlignment="1">
      <alignment horizontal="center"/>
    </xf>
    <xf numFmtId="14" fontId="7" fillId="0" borderId="3" xfId="0" applyNumberFormat="1" applyFont="1" applyBorder="1" applyAlignment="1">
      <alignment horizontal="center" vertical="top"/>
    </xf>
    <xf numFmtId="0" fontId="7" fillId="2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3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center" vertical="top"/>
    </xf>
    <xf numFmtId="0" fontId="6" fillId="0" borderId="10" xfId="0" applyFont="1" applyBorder="1" applyAlignment="1">
      <alignment horizontal="left" vertical="top"/>
    </xf>
    <xf numFmtId="0" fontId="3" fillId="0" borderId="10" xfId="0" applyFont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13" fillId="0" borderId="1" xfId="0" applyFont="1" applyBorder="1" applyAlignment="1">
      <alignment horizontal="center" vertical="top"/>
    </xf>
    <xf numFmtId="0" fontId="2" fillId="0" borderId="0" xfId="0" applyFont="1">
      <alignment vertical="center"/>
    </xf>
    <xf numFmtId="0" fontId="3" fillId="0" borderId="3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center" vertical="top"/>
    </xf>
    <xf numFmtId="0" fontId="6" fillId="0" borderId="10" xfId="0" applyFont="1" applyBorder="1" applyAlignment="1">
      <alignment horizontal="left" vertical="top"/>
    </xf>
    <xf numFmtId="0" fontId="3" fillId="0" borderId="10" xfId="0" applyFont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13" fillId="0" borderId="1" xfId="0" applyFont="1" applyBorder="1" applyAlignment="1">
      <alignment horizontal="center" vertical="top"/>
    </xf>
    <xf numFmtId="0" fontId="2" fillId="0" borderId="0" xfId="0" applyFont="1">
      <alignment vertical="center"/>
    </xf>
    <xf numFmtId="0" fontId="3" fillId="0" borderId="3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center" vertical="top"/>
    </xf>
    <xf numFmtId="0" fontId="6" fillId="0" borderId="10" xfId="0" applyFont="1" applyBorder="1" applyAlignment="1">
      <alignment horizontal="left" vertical="top"/>
    </xf>
    <xf numFmtId="0" fontId="3" fillId="0" borderId="10" xfId="0" applyFont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13" fillId="0" borderId="1" xfId="0" applyFont="1" applyBorder="1" applyAlignment="1">
      <alignment horizontal="center" vertical="top"/>
    </xf>
    <xf numFmtId="0" fontId="6" fillId="0" borderId="10" xfId="0" applyFont="1" applyFill="1" applyBorder="1" applyAlignment="1">
      <alignment horizontal="left" vertical="top"/>
    </xf>
    <xf numFmtId="0" fontId="3" fillId="0" borderId="6" xfId="0" applyFont="1" applyFill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center" vertical="top"/>
    </xf>
    <xf numFmtId="0" fontId="6" fillId="0" borderId="10" xfId="0" applyFont="1" applyBorder="1" applyAlignment="1">
      <alignment horizontal="left" vertical="top"/>
    </xf>
    <xf numFmtId="0" fontId="3" fillId="0" borderId="10" xfId="0" applyFont="1" applyBorder="1" applyAlignment="1">
      <alignment horizontal="center" vertical="top"/>
    </xf>
    <xf numFmtId="0" fontId="2" fillId="0" borderId="0" xfId="0" applyFont="1">
      <alignment vertical="center"/>
    </xf>
    <xf numFmtId="0" fontId="3" fillId="0" borderId="3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center" vertical="top"/>
    </xf>
    <xf numFmtId="0" fontId="3" fillId="0" borderId="7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/>
    </xf>
    <xf numFmtId="0" fontId="3" fillId="0" borderId="4" xfId="0" applyFont="1" applyBorder="1" applyAlignment="1">
      <alignment horizontal="center" vertical="top"/>
    </xf>
    <xf numFmtId="0" fontId="3" fillId="0" borderId="9" xfId="0" quotePrefix="1" applyFont="1" applyBorder="1" applyAlignment="1">
      <alignment horizontal="center" vertical="top"/>
    </xf>
    <xf numFmtId="0" fontId="3" fillId="0" borderId="10" xfId="0" quotePrefix="1" applyFont="1" applyBorder="1" applyAlignment="1">
      <alignment horizontal="center" vertical="top"/>
    </xf>
    <xf numFmtId="0" fontId="3" fillId="4" borderId="1" xfId="0" applyFont="1" applyFill="1" applyBorder="1" applyAlignment="1">
      <alignment horizontal="center" vertical="top"/>
    </xf>
    <xf numFmtId="0" fontId="3" fillId="0" borderId="1" xfId="0" applyFont="1" applyFill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13" fillId="0" borderId="1" xfId="0" applyFont="1" applyBorder="1" applyAlignment="1">
      <alignment horizontal="center" vertical="top"/>
    </xf>
    <xf numFmtId="0" fontId="3" fillId="2" borderId="17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top" wrapText="1"/>
    </xf>
    <xf numFmtId="0" fontId="15" fillId="0" borderId="13" xfId="0" applyFont="1" applyBorder="1" applyAlignment="1">
      <alignment horizontal="left" vertical="top" wrapText="1"/>
    </xf>
    <xf numFmtId="0" fontId="3" fillId="0" borderId="9" xfId="0" applyFont="1" applyFill="1" applyBorder="1" applyAlignment="1">
      <alignment horizontal="center" vertical="top"/>
    </xf>
    <xf numFmtId="0" fontId="3" fillId="0" borderId="7" xfId="0" applyFont="1" applyFill="1" applyBorder="1" applyAlignment="1">
      <alignment horizontal="center" vertical="top"/>
    </xf>
    <xf numFmtId="0" fontId="3" fillId="0" borderId="10" xfId="0" applyFont="1" applyFill="1" applyBorder="1" applyAlignment="1">
      <alignment horizontal="center" vertical="top"/>
    </xf>
    <xf numFmtId="0" fontId="3" fillId="0" borderId="6" xfId="0" applyFont="1" applyFill="1" applyBorder="1" applyAlignment="1">
      <alignment horizontal="center" vertical="top"/>
    </xf>
    <xf numFmtId="0" fontId="15" fillId="0" borderId="7" xfId="0" applyFont="1" applyFill="1" applyBorder="1" applyAlignment="1">
      <alignment horizontal="center" vertical="top"/>
    </xf>
    <xf numFmtId="0" fontId="15" fillId="0" borderId="10" xfId="0" quotePrefix="1" applyFont="1" applyFill="1" applyBorder="1" applyAlignment="1">
      <alignment horizontal="center" vertical="top"/>
    </xf>
    <xf numFmtId="0" fontId="15" fillId="0" borderId="3" xfId="0" applyFont="1" applyFill="1" applyBorder="1" applyAlignment="1">
      <alignment horizontal="center" vertical="top"/>
    </xf>
    <xf numFmtId="0" fontId="15" fillId="0" borderId="9" xfId="0" applyFont="1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 wrapText="1"/>
    </xf>
    <xf numFmtId="0" fontId="3" fillId="2" borderId="14" xfId="0" applyFont="1" applyFill="1" applyBorder="1" applyAlignment="1">
      <alignment horizontal="center"/>
    </xf>
    <xf numFmtId="0" fontId="15" fillId="7" borderId="10" xfId="0" quotePrefix="1" applyFont="1" applyFill="1" applyBorder="1" applyAlignment="1">
      <alignment horizontal="center" vertical="top"/>
    </xf>
    <xf numFmtId="0" fontId="15" fillId="7" borderId="3" xfId="0" applyFont="1" applyFill="1" applyBorder="1" applyAlignment="1">
      <alignment horizontal="center" vertical="top"/>
    </xf>
    <xf numFmtId="0" fontId="15" fillId="7" borderId="9" xfId="0" quotePrefix="1" applyFont="1" applyFill="1" applyBorder="1" applyAlignment="1">
      <alignment horizontal="center" vertical="top"/>
    </xf>
    <xf numFmtId="0" fontId="15" fillId="7" borderId="13" xfId="0" applyFont="1" applyFill="1" applyBorder="1" applyAlignment="1">
      <alignment horizontal="center" vertical="top"/>
    </xf>
    <xf numFmtId="0" fontId="15" fillId="7" borderId="4" xfId="0" applyFont="1" applyFill="1" applyBorder="1" applyAlignment="1">
      <alignment horizontal="center" vertical="top"/>
    </xf>
    <xf numFmtId="0" fontId="15" fillId="7" borderId="9" xfId="0" applyFont="1" applyFill="1" applyBorder="1" applyAlignment="1">
      <alignment horizontal="center" vertical="top"/>
    </xf>
    <xf numFmtId="0" fontId="15" fillId="7" borderId="11" xfId="0" applyFont="1" applyFill="1" applyBorder="1" applyAlignment="1">
      <alignment horizontal="center" vertical="top"/>
    </xf>
    <xf numFmtId="0" fontId="15" fillId="7" borderId="12" xfId="0" applyFont="1" applyFill="1" applyBorder="1" applyAlignment="1">
      <alignment horizontal="center" vertical="top"/>
    </xf>
    <xf numFmtId="0" fontId="15" fillId="7" borderId="7" xfId="0" applyFont="1" applyFill="1" applyBorder="1" applyAlignment="1">
      <alignment horizontal="center" vertical="top"/>
    </xf>
    <xf numFmtId="0" fontId="2" fillId="0" borderId="0" xfId="0" applyFont="1" applyAlignment="1">
      <alignment horizontal="center" vertical="center"/>
    </xf>
    <xf numFmtId="0" fontId="3" fillId="0" borderId="4" xfId="0" applyFont="1" applyFill="1" applyBorder="1" applyAlignment="1">
      <alignment horizontal="center" vertical="top"/>
    </xf>
    <xf numFmtId="0" fontId="3" fillId="0" borderId="3" xfId="0" applyFont="1" applyFill="1" applyBorder="1" applyAlignment="1">
      <alignment horizontal="center" vertical="top"/>
    </xf>
    <xf numFmtId="0" fontId="3" fillId="0" borderId="8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center" vertical="top" wrapText="1"/>
    </xf>
    <xf numFmtId="0" fontId="3" fillId="0" borderId="3" xfId="0" applyFont="1" applyBorder="1" applyAlignment="1">
      <alignment horizontal="center" vertical="top" wrapText="1"/>
    </xf>
    <xf numFmtId="0" fontId="3" fillId="0" borderId="8" xfId="0" applyFont="1" applyFill="1" applyBorder="1" applyAlignment="1">
      <alignment horizontal="left" vertical="top" wrapText="1"/>
    </xf>
    <xf numFmtId="0" fontId="3" fillId="0" borderId="3" xfId="0" applyFont="1" applyFill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quotePrefix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8" xfId="0" quotePrefix="1" applyFont="1" applyBorder="1" applyAlignment="1">
      <alignment horizontal="center" vertical="top" wrapText="1"/>
    </xf>
    <xf numFmtId="0" fontId="3" fillId="0" borderId="3" xfId="0" quotePrefix="1" applyFont="1" applyBorder="1" applyAlignment="1">
      <alignment horizontal="center" vertical="top" wrapText="1"/>
    </xf>
    <xf numFmtId="0" fontId="3" fillId="0" borderId="3" xfId="0" quotePrefix="1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3" borderId="15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3" fillId="0" borderId="5" xfId="0" applyFont="1" applyBorder="1" applyAlignment="1">
      <alignment horizontal="center" vertical="top" wrapText="1"/>
    </xf>
    <xf numFmtId="0" fontId="3" fillId="2" borderId="8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3" fillId="2" borderId="8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wrapText="1"/>
    </xf>
    <xf numFmtId="0" fontId="3" fillId="0" borderId="5" xfId="0" applyFont="1" applyFill="1" applyBorder="1" applyAlignment="1">
      <alignment horizontal="left" vertical="top" wrapText="1"/>
    </xf>
    <xf numFmtId="0" fontId="3" fillId="0" borderId="4" xfId="0" applyFont="1" applyFill="1" applyBorder="1" applyAlignment="1">
      <alignment horizontal="left" vertical="top" wrapText="1"/>
    </xf>
    <xf numFmtId="0" fontId="3" fillId="0" borderId="4" xfId="0" applyFont="1" applyBorder="1" applyAlignment="1">
      <alignment horizontal="left" vertical="top" wrapText="1"/>
    </xf>
    <xf numFmtId="0" fontId="15" fillId="0" borderId="8" xfId="0" applyFont="1" applyBorder="1" applyAlignment="1">
      <alignment horizontal="left" vertical="top" wrapText="1"/>
    </xf>
    <xf numFmtId="0" fontId="15" fillId="0" borderId="3" xfId="0" applyFont="1" applyBorder="1" applyAlignment="1">
      <alignment horizontal="left" vertical="top" wrapText="1"/>
    </xf>
  </cellXfs>
  <cellStyles count="1">
    <cellStyle name="標準" xfId="0" builtinId="0"/>
  </cellStyles>
  <dxfs count="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FFCCFF"/>
      <color rgb="FFFFFFCC"/>
      <color rgb="FFEAEAEA"/>
      <color rgb="FFCCECFF"/>
      <color rgb="FFCCFFCC"/>
      <color rgb="FF0000FF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rtlCol="0" anchor="ctr"/>
      <a:lstStyle>
        <a:defPPr algn="ctr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3"/>
  <sheetViews>
    <sheetView zoomScale="85" zoomScaleNormal="85" workbookViewId="0">
      <selection activeCell="B9" sqref="B9"/>
    </sheetView>
  </sheetViews>
  <sheetFormatPr defaultRowHeight="13.5"/>
  <cols>
    <col min="1" max="1" width="15" style="31" customWidth="1"/>
    <col min="2" max="2" width="130" customWidth="1"/>
  </cols>
  <sheetData>
    <row r="1" spans="1:2" ht="14.25" thickBot="1">
      <c r="A1" s="40" t="s">
        <v>6</v>
      </c>
      <c r="B1" s="40" t="s">
        <v>7</v>
      </c>
    </row>
    <row r="2" spans="1:2" ht="14.25" thickTop="1">
      <c r="A2" s="39">
        <v>42012</v>
      </c>
      <c r="B2" s="15" t="s">
        <v>70</v>
      </c>
    </row>
    <row r="3" spans="1:2">
      <c r="A3" s="39"/>
      <c r="B3" s="15"/>
    </row>
  </sheetData>
  <customSheetViews>
    <customSheetView guid="{1E963BCB-C872-43C1-8D9D-F267F7593BFE}" scale="85">
      <selection activeCell="A5" sqref="A5"/>
      <pageMargins left="0.25" right="0.25" top="0.75" bottom="0.75" header="0.3" footer="0.3"/>
      <pageSetup paperSize="9" orientation="landscape" horizontalDpi="300" verticalDpi="300" r:id="rId1"/>
    </customSheetView>
    <customSheetView guid="{E4C991CA-FAFB-41B5-B518-3DB5412FBD7B}" scale="85">
      <selection activeCell="C56" sqref="C56"/>
      <pageMargins left="0.25" right="0.25" top="0.75" bottom="0.75" header="0.3" footer="0.3"/>
      <pageSetup paperSize="9" orientation="landscape" horizontalDpi="300" verticalDpi="300" r:id="rId2"/>
    </customSheetView>
    <customSheetView guid="{46916BE6-7C52-4940-B115-7FE49827A0C1}" scale="85">
      <selection activeCell="C9" sqref="C9"/>
      <pageMargins left="0.25" right="0.25" top="0.75" bottom="0.75" header="0.3" footer="0.3"/>
      <pageSetup paperSize="9" orientation="landscape" horizontalDpi="300" verticalDpi="300" r:id="rId3"/>
    </customSheetView>
  </customSheetViews>
  <phoneticPr fontId="1"/>
  <pageMargins left="0.74803149606299213" right="0.74803149606299213" top="0.86614173228346458" bottom="0.74803149606299213" header="0.55118110236220474" footer="0.31496062992125984"/>
  <pageSetup paperSize="9" scale="60" orientation="portrait" horizontalDpi="300" verticalDpi="300" r:id="rId4"/>
  <headerFooter>
    <oddHeader xml:space="preserve">&amp;L&amp;"Xerox Sans,太字"&amp;20&amp;UDevice Status List for A-Finisher &amp;"HG丸ｺﾞｼｯｸM-PRO,太字"改訂履歴
</oddHeader>
    <oddFooter>&amp;C&amp;20&amp;P/&amp;N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8"/>
  <dimension ref="A1:Y65"/>
  <sheetViews>
    <sheetView tabSelected="1" zoomScale="80" zoomScaleNormal="80" workbookViewId="0">
      <pane xSplit="3" ySplit="2" topLeftCell="D18" activePane="bottomRight" state="frozen"/>
      <selection pane="topRight" activeCell="D1" sqref="D1"/>
      <selection pane="bottomLeft" activeCell="A3" sqref="A3"/>
      <selection pane="bottomRight" activeCell="C29" sqref="C29:C30"/>
    </sheetView>
  </sheetViews>
  <sheetFormatPr defaultRowHeight="15"/>
  <cols>
    <col min="1" max="1" width="9.625" style="1" bestFit="1" customWidth="1"/>
    <col min="2" max="2" width="15.125" style="1" hidden="1" customWidth="1"/>
    <col min="3" max="3" width="25" style="1" customWidth="1"/>
    <col min="4" max="4" width="37.5" style="1" customWidth="1"/>
    <col min="5" max="5" width="25" style="1" customWidth="1"/>
    <col min="6" max="6" width="12.5" style="1" customWidth="1"/>
    <col min="7" max="7" width="16.25" style="1" customWidth="1"/>
    <col min="8" max="8" width="18.75" style="113" customWidth="1"/>
    <col min="9" max="9" width="20" style="1" customWidth="1"/>
    <col min="10" max="10" width="15" style="1" customWidth="1"/>
    <col min="11" max="11" width="27.5" style="20" customWidth="1"/>
    <col min="12" max="12" width="6.25" style="20" customWidth="1"/>
    <col min="13" max="14" width="25" style="20" customWidth="1"/>
    <col min="15" max="15" width="7.5" style="20" customWidth="1"/>
    <col min="16" max="16" width="12.5" style="20" customWidth="1"/>
    <col min="17" max="17" width="7.5" style="20" customWidth="1"/>
    <col min="18" max="18" width="21" style="20" customWidth="1"/>
    <col min="19" max="20" width="25" style="20" customWidth="1"/>
    <col min="21" max="21" width="6.25" style="20" customWidth="1"/>
    <col min="22" max="22" width="17.5" style="20" bestFit="1" customWidth="1"/>
    <col min="23" max="23" width="13.75" style="1" bestFit="1" customWidth="1"/>
    <col min="24" max="24" width="13.75" style="1" customWidth="1"/>
    <col min="25" max="25" width="8.75" style="1" customWidth="1"/>
    <col min="26" max="16384" width="9" style="1"/>
  </cols>
  <sheetData>
    <row r="1" spans="1:25" ht="14.25" customHeight="1">
      <c r="A1" s="23" t="s">
        <v>71</v>
      </c>
      <c r="B1" s="136" t="s">
        <v>10</v>
      </c>
      <c r="C1" s="138" t="s">
        <v>0</v>
      </c>
      <c r="D1" s="139" t="s">
        <v>1</v>
      </c>
      <c r="E1" s="138" t="s">
        <v>44</v>
      </c>
      <c r="F1" s="139" t="s">
        <v>2</v>
      </c>
      <c r="G1" s="138" t="s">
        <v>8</v>
      </c>
      <c r="H1" s="102"/>
      <c r="I1" s="27" t="s">
        <v>14</v>
      </c>
      <c r="J1" s="28"/>
      <c r="K1" s="130" t="s">
        <v>13</v>
      </c>
      <c r="L1" s="130"/>
      <c r="M1" s="130"/>
      <c r="N1" s="130"/>
      <c r="O1" s="130"/>
      <c r="P1" s="130"/>
      <c r="Q1" s="130"/>
      <c r="R1" s="130"/>
      <c r="S1" s="131"/>
      <c r="T1" s="131"/>
      <c r="U1" s="131"/>
      <c r="V1" s="131"/>
      <c r="W1" s="132" t="s">
        <v>63</v>
      </c>
      <c r="X1" s="133"/>
      <c r="Y1" s="134"/>
    </row>
    <row r="2" spans="1:25" ht="28.5" customHeight="1" thickBot="1">
      <c r="A2" s="103" t="s">
        <v>11</v>
      </c>
      <c r="B2" s="137"/>
      <c r="C2" s="137"/>
      <c r="D2" s="140"/>
      <c r="E2" s="141"/>
      <c r="F2" s="140"/>
      <c r="G2" s="141"/>
      <c r="H2" s="90" t="s">
        <v>9</v>
      </c>
      <c r="I2" s="91" t="s">
        <v>3</v>
      </c>
      <c r="J2" s="29" t="s">
        <v>17</v>
      </c>
      <c r="K2" s="18" t="s">
        <v>28</v>
      </c>
      <c r="L2" s="18" t="s">
        <v>62</v>
      </c>
      <c r="M2" s="18" t="s">
        <v>48</v>
      </c>
      <c r="N2" s="18" t="s">
        <v>67</v>
      </c>
      <c r="O2" s="18" t="s">
        <v>68</v>
      </c>
      <c r="P2" s="18" t="s">
        <v>46</v>
      </c>
      <c r="Q2" s="18" t="s">
        <v>29</v>
      </c>
      <c r="R2" s="18" t="s">
        <v>47</v>
      </c>
      <c r="S2" s="19" t="s">
        <v>58</v>
      </c>
      <c r="T2" s="19" t="s">
        <v>57</v>
      </c>
      <c r="U2" s="18" t="s">
        <v>69</v>
      </c>
      <c r="V2" s="18" t="s">
        <v>56</v>
      </c>
      <c r="W2" s="38" t="s">
        <v>65</v>
      </c>
      <c r="X2" s="38" t="s">
        <v>66</v>
      </c>
      <c r="Y2" s="38" t="s">
        <v>64</v>
      </c>
    </row>
    <row r="3" spans="1:25" ht="15.75" thickTop="1">
      <c r="A3" s="114" t="str">
        <f>CONCATENATE($A$1,DEC2HEX(B3,3),"H")</f>
        <v>B040H</v>
      </c>
      <c r="B3" s="115">
        <v>64</v>
      </c>
      <c r="C3" s="142" t="s">
        <v>72</v>
      </c>
      <c r="D3" s="142" t="s">
        <v>22</v>
      </c>
      <c r="E3" s="8" t="s">
        <v>4</v>
      </c>
      <c r="F3" s="94" t="s">
        <v>12</v>
      </c>
      <c r="G3" s="24" t="s">
        <v>12</v>
      </c>
      <c r="H3" s="135"/>
      <c r="I3" s="3" t="s">
        <v>12</v>
      </c>
      <c r="J3" s="3" t="s">
        <v>18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>
        <v>1</v>
      </c>
      <c r="X3" s="30">
        <v>0</v>
      </c>
      <c r="Y3" s="30">
        <v>0</v>
      </c>
    </row>
    <row r="4" spans="1:25">
      <c r="A4" s="115"/>
      <c r="B4" s="86"/>
      <c r="C4" s="120"/>
      <c r="D4" s="120"/>
      <c r="E4" s="7" t="s">
        <v>5</v>
      </c>
      <c r="F4" s="95" t="s">
        <v>119</v>
      </c>
      <c r="G4" s="6" t="s">
        <v>12</v>
      </c>
      <c r="H4" s="118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0"/>
      <c r="Y4" s="30"/>
    </row>
    <row r="5" spans="1:25">
      <c r="A5" s="114" t="str">
        <f>CONCATENATE($A$1,DEC2HEX(B5,3),"H")</f>
        <v>B140H</v>
      </c>
      <c r="B5" s="115">
        <v>320</v>
      </c>
      <c r="C5" s="119" t="s">
        <v>80</v>
      </c>
      <c r="D5" s="119" t="s">
        <v>23</v>
      </c>
      <c r="E5" s="8" t="s">
        <v>4</v>
      </c>
      <c r="F5" s="94" t="s">
        <v>15</v>
      </c>
      <c r="G5" s="24" t="s">
        <v>15</v>
      </c>
      <c r="H5" s="117"/>
      <c r="I5" s="2" t="s">
        <v>32</v>
      </c>
      <c r="J5" s="2" t="s">
        <v>19</v>
      </c>
      <c r="K5" s="3"/>
      <c r="L5" s="3"/>
      <c r="M5" s="3"/>
      <c r="N5" s="3"/>
      <c r="O5" s="3"/>
      <c r="P5" s="3"/>
      <c r="Q5" s="3"/>
      <c r="R5" s="3"/>
      <c r="S5" s="32"/>
      <c r="T5" s="33"/>
      <c r="U5" s="3"/>
      <c r="V5" s="3"/>
      <c r="W5" s="3">
        <v>1</v>
      </c>
      <c r="X5" s="30">
        <v>0</v>
      </c>
      <c r="Y5" s="30">
        <v>0</v>
      </c>
    </row>
    <row r="6" spans="1:25" ht="36" customHeight="1">
      <c r="A6" s="115"/>
      <c r="B6" s="86"/>
      <c r="C6" s="120"/>
      <c r="D6" s="120"/>
      <c r="E6" s="7" t="s">
        <v>5</v>
      </c>
      <c r="F6" s="95" t="s">
        <v>120</v>
      </c>
      <c r="G6" s="6" t="s">
        <v>15</v>
      </c>
      <c r="H6" s="118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0"/>
      <c r="Y6" s="30"/>
    </row>
    <row r="7" spans="1:25" ht="15" customHeight="1">
      <c r="A7" s="114" t="str">
        <f t="shared" ref="A7" si="0">CONCATENATE($A$1,DEC2HEX(B7,3),"H")</f>
        <v>B141H</v>
      </c>
      <c r="B7" s="115">
        <v>321</v>
      </c>
      <c r="C7" s="119" t="s">
        <v>78</v>
      </c>
      <c r="D7" s="119" t="s">
        <v>42</v>
      </c>
      <c r="E7" s="8" t="s">
        <v>4</v>
      </c>
      <c r="F7" s="94" t="s">
        <v>15</v>
      </c>
      <c r="G7" s="24" t="s">
        <v>15</v>
      </c>
      <c r="H7" s="117"/>
      <c r="I7" s="2" t="s">
        <v>32</v>
      </c>
      <c r="J7" s="2" t="s">
        <v>19</v>
      </c>
      <c r="K7" s="3"/>
      <c r="L7" s="3"/>
      <c r="M7" s="3"/>
      <c r="N7" s="3"/>
      <c r="O7" s="3"/>
      <c r="P7" s="3"/>
      <c r="Q7" s="3"/>
      <c r="R7" s="3"/>
      <c r="S7" s="32"/>
      <c r="T7" s="33"/>
      <c r="U7" s="3"/>
      <c r="V7" s="3"/>
      <c r="W7" s="3">
        <v>1</v>
      </c>
      <c r="X7" s="30">
        <v>0</v>
      </c>
      <c r="Y7" s="30">
        <v>0</v>
      </c>
    </row>
    <row r="8" spans="1:25" ht="20.25" customHeight="1">
      <c r="A8" s="115"/>
      <c r="B8" s="86"/>
      <c r="C8" s="120"/>
      <c r="D8" s="120"/>
      <c r="E8" s="7" t="s">
        <v>5</v>
      </c>
      <c r="F8" s="95" t="s">
        <v>121</v>
      </c>
      <c r="G8" s="6" t="s">
        <v>15</v>
      </c>
      <c r="H8" s="118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0"/>
      <c r="Y8" s="30"/>
    </row>
    <row r="9" spans="1:25" ht="15" customHeight="1">
      <c r="A9" s="114" t="str">
        <f t="shared" ref="A9" si="1">CONCATENATE($A$1,DEC2HEX(B9,3),"H")</f>
        <v>B142H</v>
      </c>
      <c r="B9" s="115">
        <v>322</v>
      </c>
      <c r="C9" s="119" t="s">
        <v>79</v>
      </c>
      <c r="D9" s="119" t="s">
        <v>117</v>
      </c>
      <c r="E9" s="8" t="s">
        <v>4</v>
      </c>
      <c r="F9" s="94" t="s">
        <v>32</v>
      </c>
      <c r="G9" s="24" t="s">
        <v>15</v>
      </c>
      <c r="H9" s="117"/>
      <c r="I9" s="2" t="s">
        <v>32</v>
      </c>
      <c r="J9" s="2" t="s">
        <v>19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>
        <v>1</v>
      </c>
      <c r="X9" s="30">
        <v>0</v>
      </c>
      <c r="Y9" s="30">
        <v>0</v>
      </c>
    </row>
    <row r="10" spans="1:25" ht="20.25" customHeight="1">
      <c r="A10" s="115"/>
      <c r="B10" s="86"/>
      <c r="C10" s="120"/>
      <c r="D10" s="120"/>
      <c r="E10" s="7" t="s">
        <v>5</v>
      </c>
      <c r="F10" s="95" t="s">
        <v>122</v>
      </c>
      <c r="G10" s="6" t="s">
        <v>15</v>
      </c>
      <c r="H10" s="118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0"/>
      <c r="Y10" s="30"/>
    </row>
    <row r="11" spans="1:25">
      <c r="A11" s="114" t="str">
        <f t="shared" ref="A11" si="2">CONCATENATE($A$1,DEC2HEX(B11,3),"H")</f>
        <v>B143H</v>
      </c>
      <c r="B11" s="86">
        <v>323</v>
      </c>
      <c r="C11" s="119" t="s">
        <v>73</v>
      </c>
      <c r="D11" s="119" t="s">
        <v>81</v>
      </c>
      <c r="E11" s="8" t="s">
        <v>4</v>
      </c>
      <c r="F11" s="94" t="s">
        <v>32</v>
      </c>
      <c r="G11" s="24" t="s">
        <v>15</v>
      </c>
      <c r="H11" s="117"/>
      <c r="I11" s="2" t="s">
        <v>32</v>
      </c>
      <c r="J11" s="2" t="s">
        <v>19</v>
      </c>
      <c r="K11" s="3"/>
      <c r="L11" s="3"/>
      <c r="M11" s="3"/>
      <c r="N11" s="3"/>
      <c r="O11" s="3"/>
      <c r="P11" s="3"/>
      <c r="Q11" s="3"/>
      <c r="R11" s="3"/>
      <c r="S11" s="3"/>
      <c r="T11" s="33"/>
      <c r="U11" s="3"/>
      <c r="V11" s="3"/>
      <c r="W11" s="3">
        <v>1</v>
      </c>
      <c r="X11" s="30">
        <v>0</v>
      </c>
      <c r="Y11" s="30">
        <v>0</v>
      </c>
    </row>
    <row r="12" spans="1:25" ht="39" customHeight="1">
      <c r="A12" s="115"/>
      <c r="B12" s="86"/>
      <c r="C12" s="120"/>
      <c r="D12" s="120"/>
      <c r="E12" s="7" t="s">
        <v>5</v>
      </c>
      <c r="F12" s="95" t="s">
        <v>123</v>
      </c>
      <c r="G12" s="6" t="s">
        <v>15</v>
      </c>
      <c r="H12" s="118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0"/>
      <c r="Y12" s="30"/>
    </row>
    <row r="13" spans="1:25">
      <c r="A13" s="114" t="str">
        <f t="shared" ref="A13" si="3">CONCATENATE($A$1,DEC2HEX(B13,3),"H")</f>
        <v>B240H</v>
      </c>
      <c r="B13" s="86">
        <v>576</v>
      </c>
      <c r="C13" s="119" t="s">
        <v>74</v>
      </c>
      <c r="D13" s="121" t="s">
        <v>43</v>
      </c>
      <c r="E13" s="11" t="s">
        <v>4</v>
      </c>
      <c r="F13" s="96" t="s">
        <v>32</v>
      </c>
      <c r="G13" s="25" t="s">
        <v>32</v>
      </c>
      <c r="H13" s="117"/>
      <c r="I13" s="2" t="s">
        <v>32</v>
      </c>
      <c r="J13" s="2" t="s">
        <v>16</v>
      </c>
      <c r="K13" s="17"/>
      <c r="L13" s="17"/>
      <c r="M13" s="17"/>
      <c r="N13" s="17"/>
      <c r="O13" s="17"/>
      <c r="P13" s="17"/>
      <c r="Q13" s="17"/>
      <c r="R13" s="17"/>
      <c r="S13" s="3"/>
      <c r="T13" s="33"/>
      <c r="U13" s="3"/>
      <c r="V13" s="3"/>
      <c r="W13" s="3">
        <v>1</v>
      </c>
      <c r="X13" s="30">
        <v>0</v>
      </c>
      <c r="Y13" s="30">
        <v>0</v>
      </c>
    </row>
    <row r="14" spans="1:25">
      <c r="A14" s="115"/>
      <c r="B14" s="86"/>
      <c r="C14" s="120"/>
      <c r="D14" s="122"/>
      <c r="E14" s="4" t="s">
        <v>5</v>
      </c>
      <c r="F14" s="97" t="s">
        <v>124</v>
      </c>
      <c r="G14" s="5" t="s">
        <v>32</v>
      </c>
      <c r="H14" s="118"/>
      <c r="I14" s="3"/>
      <c r="J14" s="3"/>
      <c r="K14" s="16"/>
      <c r="L14" s="16"/>
      <c r="M14" s="16"/>
      <c r="N14" s="16"/>
      <c r="O14" s="16"/>
      <c r="P14" s="16"/>
      <c r="Q14" s="16"/>
      <c r="R14" s="16"/>
      <c r="S14" s="3"/>
      <c r="T14" s="3"/>
      <c r="U14" s="3"/>
      <c r="V14" s="3"/>
      <c r="W14" s="3"/>
      <c r="X14" s="30"/>
      <c r="Y14" s="30"/>
    </row>
    <row r="15" spans="1:25">
      <c r="A15" s="114" t="str">
        <f t="shared" ref="A15" si="4">CONCATENATE($A$1,DEC2HEX(B15,3),"H")</f>
        <v>B241H</v>
      </c>
      <c r="B15" s="86">
        <v>577</v>
      </c>
      <c r="C15" s="119" t="s">
        <v>82</v>
      </c>
      <c r="D15" s="121" t="s">
        <v>83</v>
      </c>
      <c r="E15" s="11" t="s">
        <v>30</v>
      </c>
      <c r="F15" s="96" t="s">
        <v>32</v>
      </c>
      <c r="G15" s="25" t="s">
        <v>32</v>
      </c>
      <c r="H15" s="117"/>
      <c r="I15" s="2" t="s">
        <v>32</v>
      </c>
      <c r="J15" s="2" t="s">
        <v>16</v>
      </c>
      <c r="K15" s="17"/>
      <c r="L15" s="17"/>
      <c r="M15" s="17"/>
      <c r="N15" s="17"/>
      <c r="O15" s="17"/>
      <c r="P15" s="17"/>
      <c r="Q15" s="17"/>
      <c r="R15" s="17"/>
      <c r="S15" s="3"/>
      <c r="T15" s="33"/>
      <c r="U15" s="3"/>
      <c r="V15" s="3"/>
      <c r="W15" s="3">
        <v>1</v>
      </c>
      <c r="X15" s="30">
        <v>0</v>
      </c>
      <c r="Y15" s="30">
        <v>0</v>
      </c>
    </row>
    <row r="16" spans="1:25" ht="51.75" customHeight="1">
      <c r="A16" s="115"/>
      <c r="B16" s="86"/>
      <c r="C16" s="120"/>
      <c r="D16" s="122"/>
      <c r="E16" s="4" t="s">
        <v>33</v>
      </c>
      <c r="F16" s="97" t="s">
        <v>125</v>
      </c>
      <c r="G16" s="5" t="s">
        <v>32</v>
      </c>
      <c r="H16" s="118"/>
      <c r="I16" s="3"/>
      <c r="J16" s="3"/>
      <c r="K16" s="16"/>
      <c r="L16" s="16"/>
      <c r="M16" s="16"/>
      <c r="N16" s="16"/>
      <c r="O16" s="16"/>
      <c r="P16" s="16"/>
      <c r="Q16" s="16"/>
      <c r="R16" s="16"/>
      <c r="S16" s="3"/>
      <c r="T16" s="3"/>
      <c r="U16" s="3"/>
      <c r="V16" s="3"/>
      <c r="W16" s="3"/>
      <c r="X16" s="30"/>
      <c r="Y16" s="30"/>
    </row>
    <row r="17" spans="1:25">
      <c r="A17" s="114" t="str">
        <f t="shared" ref="A17" si="5">CONCATENATE($A$1,DEC2HEX(B17,3),"H")</f>
        <v>B242H</v>
      </c>
      <c r="B17" s="86">
        <v>578</v>
      </c>
      <c r="C17" s="119" t="s">
        <v>84</v>
      </c>
      <c r="D17" s="121" t="s">
        <v>85</v>
      </c>
      <c r="E17" s="11" t="s">
        <v>30</v>
      </c>
      <c r="F17" s="96" t="s">
        <v>32</v>
      </c>
      <c r="G17" s="25" t="s">
        <v>32</v>
      </c>
      <c r="H17" s="117"/>
      <c r="I17" s="2" t="s">
        <v>32</v>
      </c>
      <c r="J17" s="2" t="s">
        <v>16</v>
      </c>
      <c r="K17" s="3"/>
      <c r="L17" s="3"/>
      <c r="M17" s="3"/>
      <c r="N17" s="3"/>
      <c r="O17" s="3"/>
      <c r="P17" s="3"/>
      <c r="Q17" s="3"/>
      <c r="R17" s="3"/>
      <c r="S17" s="3"/>
      <c r="T17" s="33"/>
      <c r="U17" s="3"/>
      <c r="V17" s="3"/>
      <c r="W17" s="3">
        <v>1</v>
      </c>
      <c r="X17" s="30">
        <v>0</v>
      </c>
      <c r="Y17" s="30">
        <v>0</v>
      </c>
    </row>
    <row r="18" spans="1:25" ht="45" customHeight="1">
      <c r="A18" s="115"/>
      <c r="B18" s="86"/>
      <c r="C18" s="120"/>
      <c r="D18" s="122"/>
      <c r="E18" s="4" t="s">
        <v>33</v>
      </c>
      <c r="F18" s="97" t="s">
        <v>126</v>
      </c>
      <c r="G18" s="5" t="s">
        <v>32</v>
      </c>
      <c r="H18" s="118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0"/>
      <c r="Y18" s="30"/>
    </row>
    <row r="19" spans="1:25">
      <c r="A19" s="114" t="str">
        <f t="shared" ref="A19" si="6">CONCATENATE($A$1,DEC2HEX(B19,3),"H")</f>
        <v>B243H</v>
      </c>
      <c r="B19" s="86">
        <v>579</v>
      </c>
      <c r="C19" s="119" t="s">
        <v>86</v>
      </c>
      <c r="D19" s="119" t="s">
        <v>87</v>
      </c>
      <c r="E19" s="11" t="s">
        <v>30</v>
      </c>
      <c r="F19" s="96" t="s">
        <v>32</v>
      </c>
      <c r="G19" s="25" t="s">
        <v>32</v>
      </c>
      <c r="H19" s="117"/>
      <c r="I19" s="2" t="s">
        <v>32</v>
      </c>
      <c r="J19" s="2" t="s">
        <v>16</v>
      </c>
      <c r="K19" s="3"/>
      <c r="L19" s="3"/>
      <c r="M19" s="3"/>
      <c r="N19" s="3"/>
      <c r="O19" s="3"/>
      <c r="P19" s="3"/>
      <c r="Q19" s="3"/>
      <c r="R19" s="3"/>
      <c r="S19" s="3"/>
      <c r="T19" s="33"/>
      <c r="U19" s="3"/>
      <c r="V19" s="3"/>
      <c r="W19" s="3">
        <v>1</v>
      </c>
      <c r="X19" s="30">
        <v>0</v>
      </c>
      <c r="Y19" s="30">
        <v>0</v>
      </c>
    </row>
    <row r="20" spans="1:25" ht="44.25" customHeight="1">
      <c r="A20" s="115"/>
      <c r="B20" s="86"/>
      <c r="C20" s="120"/>
      <c r="D20" s="120"/>
      <c r="E20" s="4" t="s">
        <v>33</v>
      </c>
      <c r="F20" s="97" t="s">
        <v>127</v>
      </c>
      <c r="G20" s="5" t="s">
        <v>32</v>
      </c>
      <c r="H20" s="118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0"/>
      <c r="Y20" s="30"/>
    </row>
    <row r="21" spans="1:25">
      <c r="A21" s="114" t="str">
        <f t="shared" ref="A21" si="7">CONCATENATE($A$1,DEC2HEX(B21,3),"H")</f>
        <v>B244H</v>
      </c>
      <c r="B21" s="86">
        <v>580</v>
      </c>
      <c r="C21" s="119" t="s">
        <v>88</v>
      </c>
      <c r="D21" s="121" t="s">
        <v>89</v>
      </c>
      <c r="E21" s="11" t="s">
        <v>30</v>
      </c>
      <c r="F21" s="96" t="s">
        <v>32</v>
      </c>
      <c r="G21" s="25" t="s">
        <v>32</v>
      </c>
      <c r="H21" s="117"/>
      <c r="I21" s="2" t="s">
        <v>32</v>
      </c>
      <c r="J21" s="2" t="s">
        <v>16</v>
      </c>
      <c r="K21" s="3"/>
      <c r="L21" s="3"/>
      <c r="M21" s="3"/>
      <c r="N21" s="3"/>
      <c r="O21" s="3"/>
      <c r="P21" s="3"/>
      <c r="Q21" s="3"/>
      <c r="R21" s="3"/>
      <c r="S21" s="3"/>
      <c r="T21" s="33"/>
      <c r="U21" s="3"/>
      <c r="V21" s="3"/>
      <c r="W21" s="3">
        <v>1</v>
      </c>
      <c r="X21" s="30">
        <v>0</v>
      </c>
      <c r="Y21" s="30">
        <v>0</v>
      </c>
    </row>
    <row r="22" spans="1:25" ht="46.5" customHeight="1">
      <c r="A22" s="115"/>
      <c r="B22" s="86"/>
      <c r="C22" s="120"/>
      <c r="D22" s="122"/>
      <c r="E22" s="4" t="s">
        <v>33</v>
      </c>
      <c r="F22" s="97" t="s">
        <v>128</v>
      </c>
      <c r="G22" s="5" t="s">
        <v>32</v>
      </c>
      <c r="H22" s="118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0"/>
      <c r="Y22" s="30"/>
    </row>
    <row r="23" spans="1:25" ht="15" customHeight="1">
      <c r="A23" s="114" t="str">
        <f t="shared" ref="A23" si="8">CONCATENATE($A$1,DEC2HEX(B23,3),"H")</f>
        <v>B245H</v>
      </c>
      <c r="B23" s="86">
        <v>581</v>
      </c>
      <c r="C23" s="119" t="s">
        <v>90</v>
      </c>
      <c r="D23" s="119" t="s">
        <v>91</v>
      </c>
      <c r="E23" s="46" t="s">
        <v>4</v>
      </c>
      <c r="F23" s="96" t="s">
        <v>15</v>
      </c>
      <c r="G23" s="47" t="s">
        <v>15</v>
      </c>
      <c r="H23" s="117"/>
      <c r="I23" s="2" t="s">
        <v>12</v>
      </c>
      <c r="J23" s="2" t="s">
        <v>16</v>
      </c>
      <c r="K23" s="3"/>
      <c r="L23" s="3"/>
      <c r="M23" s="3"/>
      <c r="N23" s="3"/>
      <c r="O23" s="3"/>
      <c r="P23" s="3"/>
      <c r="Q23" s="3"/>
      <c r="R23" s="3"/>
      <c r="S23" s="3"/>
      <c r="T23" s="33"/>
      <c r="U23" s="3"/>
      <c r="V23" s="3"/>
      <c r="W23" s="3">
        <v>1</v>
      </c>
      <c r="X23" s="30">
        <v>0</v>
      </c>
      <c r="Y23" s="30">
        <v>0</v>
      </c>
    </row>
    <row r="24" spans="1:25" ht="28.5" customHeight="1">
      <c r="A24" s="115"/>
      <c r="B24" s="86"/>
      <c r="C24" s="120"/>
      <c r="D24" s="120"/>
      <c r="E24" s="44" t="s">
        <v>5</v>
      </c>
      <c r="F24" s="97" t="s">
        <v>129</v>
      </c>
      <c r="G24" s="45" t="s">
        <v>15</v>
      </c>
      <c r="H24" s="118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0"/>
      <c r="Y24" s="30"/>
    </row>
    <row r="25" spans="1:25" s="50" customFormat="1" ht="15" customHeight="1">
      <c r="A25" s="114" t="str">
        <f t="shared" ref="A25" si="9">CONCATENATE($A$1,DEC2HEX(B25,3),"H")</f>
        <v>B246H</v>
      </c>
      <c r="B25" s="86">
        <v>582</v>
      </c>
      <c r="C25" s="119" t="s">
        <v>146</v>
      </c>
      <c r="D25" s="119" t="s">
        <v>147</v>
      </c>
      <c r="E25" s="55" t="s">
        <v>4</v>
      </c>
      <c r="F25" s="96" t="s">
        <v>15</v>
      </c>
      <c r="G25" s="56" t="s">
        <v>15</v>
      </c>
      <c r="H25" s="117"/>
      <c r="I25" s="51" t="s">
        <v>12</v>
      </c>
      <c r="J25" s="51" t="s">
        <v>16</v>
      </c>
      <c r="K25" s="52"/>
      <c r="L25" s="52"/>
      <c r="M25" s="52"/>
      <c r="N25" s="52"/>
      <c r="O25" s="52"/>
      <c r="P25" s="52"/>
      <c r="Q25" s="52"/>
      <c r="R25" s="52"/>
      <c r="S25" s="52"/>
      <c r="T25" s="58"/>
      <c r="U25" s="52"/>
      <c r="V25" s="52"/>
      <c r="W25" s="52">
        <v>1</v>
      </c>
      <c r="X25" s="57">
        <v>0</v>
      </c>
      <c r="Y25" s="57">
        <v>0</v>
      </c>
    </row>
    <row r="26" spans="1:25" s="50" customFormat="1" ht="45" customHeight="1">
      <c r="A26" s="115"/>
      <c r="B26" s="86"/>
      <c r="C26" s="120"/>
      <c r="D26" s="120"/>
      <c r="E26" s="53" t="s">
        <v>5</v>
      </c>
      <c r="F26" s="97" t="s">
        <v>148</v>
      </c>
      <c r="G26" s="54" t="s">
        <v>15</v>
      </c>
      <c r="H26" s="118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7"/>
      <c r="Y26" s="57"/>
    </row>
    <row r="27" spans="1:25" s="41" customFormat="1" ht="15" customHeight="1">
      <c r="A27" s="114" t="str">
        <f t="shared" ref="A27" si="10">CONCATENATE($A$1,DEC2HEX(B27,3),"H")</f>
        <v>B247H</v>
      </c>
      <c r="B27" s="86">
        <v>583</v>
      </c>
      <c r="C27" s="119" t="s">
        <v>149</v>
      </c>
      <c r="D27" s="119" t="s">
        <v>150</v>
      </c>
      <c r="E27" s="55" t="s">
        <v>4</v>
      </c>
      <c r="F27" s="96" t="s">
        <v>15</v>
      </c>
      <c r="G27" s="56" t="s">
        <v>15</v>
      </c>
      <c r="H27" s="117"/>
      <c r="I27" s="42" t="s">
        <v>12</v>
      </c>
      <c r="J27" s="42" t="s">
        <v>16</v>
      </c>
      <c r="K27" s="43"/>
      <c r="L27" s="43"/>
      <c r="M27" s="43"/>
      <c r="N27" s="43"/>
      <c r="O27" s="43"/>
      <c r="P27" s="43"/>
      <c r="Q27" s="43"/>
      <c r="R27" s="43"/>
      <c r="S27" s="43"/>
      <c r="T27" s="49"/>
      <c r="U27" s="43"/>
      <c r="V27" s="43"/>
      <c r="W27" s="43">
        <v>1</v>
      </c>
      <c r="X27" s="48">
        <v>0</v>
      </c>
      <c r="Y27" s="48">
        <v>0</v>
      </c>
    </row>
    <row r="28" spans="1:25" s="41" customFormat="1" ht="45" customHeight="1">
      <c r="A28" s="115"/>
      <c r="B28" s="86"/>
      <c r="C28" s="120"/>
      <c r="D28" s="120"/>
      <c r="E28" s="53" t="s">
        <v>5</v>
      </c>
      <c r="F28" s="97" t="s">
        <v>130</v>
      </c>
      <c r="G28" s="54" t="s">
        <v>15</v>
      </c>
      <c r="H28" s="118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8"/>
      <c r="Y28" s="48"/>
    </row>
    <row r="29" spans="1:25" s="50" customFormat="1" ht="15" customHeight="1">
      <c r="A29" s="114" t="str">
        <f t="shared" ref="A29" si="11">CONCATENATE($A$1,DEC2HEX(B29,3),"H")</f>
        <v>B248H</v>
      </c>
      <c r="B29" s="86">
        <v>584</v>
      </c>
      <c r="C29" s="119" t="s">
        <v>160</v>
      </c>
      <c r="D29" s="119" t="s">
        <v>158</v>
      </c>
      <c r="E29" s="81" t="s">
        <v>30</v>
      </c>
      <c r="F29" s="96" t="s">
        <v>12</v>
      </c>
      <c r="G29" s="87" t="s">
        <v>12</v>
      </c>
      <c r="H29" s="117"/>
      <c r="I29" s="51" t="s">
        <v>12</v>
      </c>
      <c r="J29" s="51" t="s">
        <v>16</v>
      </c>
      <c r="K29" s="52"/>
      <c r="L29" s="52"/>
      <c r="M29" s="52"/>
      <c r="N29" s="52"/>
      <c r="O29" s="52"/>
      <c r="P29" s="52"/>
      <c r="Q29" s="52"/>
      <c r="R29" s="52"/>
      <c r="S29" s="52"/>
      <c r="T29" s="58"/>
      <c r="U29" s="52"/>
      <c r="V29" s="52"/>
      <c r="W29" s="52">
        <v>1</v>
      </c>
      <c r="X29" s="57">
        <v>0</v>
      </c>
      <c r="Y29" s="57">
        <v>0</v>
      </c>
    </row>
    <row r="30" spans="1:25" s="50" customFormat="1" ht="28.5" customHeight="1">
      <c r="A30" s="115"/>
      <c r="B30" s="86"/>
      <c r="C30" s="120"/>
      <c r="D30" s="120"/>
      <c r="E30" s="77" t="s">
        <v>33</v>
      </c>
      <c r="F30" s="97" t="s">
        <v>155</v>
      </c>
      <c r="G30" s="78" t="s">
        <v>12</v>
      </c>
      <c r="H30" s="118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7"/>
      <c r="Y30" s="57"/>
    </row>
    <row r="31" spans="1:25" ht="15" customHeight="1">
      <c r="A31" s="114" t="str">
        <f t="shared" ref="A31" si="12">CONCATENATE($A$1,DEC2HEX(B31,3),"H")</f>
        <v>B249H</v>
      </c>
      <c r="B31" s="86">
        <v>585</v>
      </c>
      <c r="C31" s="119" t="s">
        <v>157</v>
      </c>
      <c r="D31" s="119" t="s">
        <v>159</v>
      </c>
      <c r="E31" s="81" t="s">
        <v>30</v>
      </c>
      <c r="F31" s="96" t="s">
        <v>12</v>
      </c>
      <c r="G31" s="87" t="s">
        <v>12</v>
      </c>
      <c r="H31" s="117"/>
      <c r="I31" s="2" t="s">
        <v>32</v>
      </c>
      <c r="J31" s="2" t="s">
        <v>16</v>
      </c>
      <c r="K31" s="3"/>
      <c r="L31" s="3"/>
      <c r="M31" s="3"/>
      <c r="N31" s="3"/>
      <c r="O31" s="3"/>
      <c r="P31" s="3"/>
      <c r="Q31" s="3"/>
      <c r="R31" s="3"/>
      <c r="S31" s="3"/>
      <c r="T31" s="33"/>
      <c r="U31" s="3"/>
      <c r="V31" s="3"/>
      <c r="W31" s="3">
        <v>1</v>
      </c>
      <c r="X31" s="30">
        <v>0</v>
      </c>
      <c r="Y31" s="30">
        <v>0</v>
      </c>
    </row>
    <row r="32" spans="1:25" ht="28.5" customHeight="1">
      <c r="A32" s="115"/>
      <c r="B32" s="86"/>
      <c r="C32" s="120"/>
      <c r="D32" s="120"/>
      <c r="E32" s="77" t="s">
        <v>33</v>
      </c>
      <c r="F32" s="97" t="s">
        <v>156</v>
      </c>
      <c r="G32" s="78" t="s">
        <v>12</v>
      </c>
      <c r="H32" s="11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0"/>
      <c r="Y32" s="30"/>
    </row>
    <row r="33" spans="1:25" s="50" customFormat="1" ht="15" customHeight="1">
      <c r="A33" s="114" t="str">
        <f t="shared" ref="A33" si="13">CONCATENATE($A$1,DEC2HEX(B33,3),"H")</f>
        <v>B24AH</v>
      </c>
      <c r="B33" s="86">
        <v>586</v>
      </c>
      <c r="C33" s="119" t="s">
        <v>97</v>
      </c>
      <c r="D33" s="119" t="s">
        <v>99</v>
      </c>
      <c r="E33" s="81" t="s">
        <v>30</v>
      </c>
      <c r="F33" s="96" t="s">
        <v>12</v>
      </c>
      <c r="G33" s="87" t="s">
        <v>12</v>
      </c>
      <c r="H33" s="117"/>
      <c r="I33" s="75" t="s">
        <v>12</v>
      </c>
      <c r="J33" s="75" t="s">
        <v>16</v>
      </c>
      <c r="K33" s="76"/>
      <c r="L33" s="76"/>
      <c r="M33" s="76"/>
      <c r="N33" s="76"/>
      <c r="O33" s="76"/>
      <c r="P33" s="76"/>
      <c r="Q33" s="76"/>
      <c r="R33" s="76"/>
      <c r="S33" s="76"/>
      <c r="T33" s="89"/>
      <c r="U33" s="76"/>
      <c r="V33" s="76"/>
      <c r="W33" s="76">
        <v>1</v>
      </c>
      <c r="X33" s="88">
        <v>0</v>
      </c>
      <c r="Y33" s="88">
        <v>0</v>
      </c>
    </row>
    <row r="34" spans="1:25" s="50" customFormat="1" ht="31.5" customHeight="1">
      <c r="A34" s="115"/>
      <c r="B34" s="86"/>
      <c r="C34" s="120"/>
      <c r="D34" s="120"/>
      <c r="E34" s="77" t="s">
        <v>33</v>
      </c>
      <c r="F34" s="97" t="s">
        <v>131</v>
      </c>
      <c r="G34" s="78" t="s">
        <v>12</v>
      </c>
      <c r="H34" s="118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88"/>
      <c r="Y34" s="88"/>
    </row>
    <row r="35" spans="1:25" s="59" customFormat="1" ht="15" customHeight="1">
      <c r="A35" s="114" t="str">
        <f t="shared" ref="A35" si="14">CONCATENATE($A$1,DEC2HEX(B35,3),"H")</f>
        <v>B24BH</v>
      </c>
      <c r="B35" s="86">
        <v>587</v>
      </c>
      <c r="C35" s="119" t="s">
        <v>98</v>
      </c>
      <c r="D35" s="119" t="s">
        <v>100</v>
      </c>
      <c r="E35" s="81" t="s">
        <v>30</v>
      </c>
      <c r="F35" s="96" t="s">
        <v>12</v>
      </c>
      <c r="G35" s="87" t="s">
        <v>12</v>
      </c>
      <c r="H35" s="117"/>
      <c r="I35" s="75" t="s">
        <v>12</v>
      </c>
      <c r="J35" s="75" t="s">
        <v>16</v>
      </c>
      <c r="K35" s="76"/>
      <c r="L35" s="76"/>
      <c r="M35" s="76"/>
      <c r="N35" s="76"/>
      <c r="O35" s="76"/>
      <c r="P35" s="76"/>
      <c r="Q35" s="76"/>
      <c r="R35" s="76"/>
      <c r="S35" s="76"/>
      <c r="T35" s="89"/>
      <c r="U35" s="76"/>
      <c r="V35" s="76"/>
      <c r="W35" s="76">
        <v>1</v>
      </c>
      <c r="X35" s="88">
        <v>0</v>
      </c>
      <c r="Y35" s="88">
        <v>0</v>
      </c>
    </row>
    <row r="36" spans="1:25" s="59" customFormat="1" ht="28.5" customHeight="1">
      <c r="A36" s="115"/>
      <c r="B36" s="86"/>
      <c r="C36" s="120"/>
      <c r="D36" s="120"/>
      <c r="E36" s="77" t="s">
        <v>33</v>
      </c>
      <c r="F36" s="97" t="s">
        <v>132</v>
      </c>
      <c r="G36" s="78" t="s">
        <v>12</v>
      </c>
      <c r="H36" s="118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88"/>
      <c r="Y36" s="88"/>
    </row>
    <row r="37" spans="1:25" s="59" customFormat="1" ht="15" customHeight="1">
      <c r="A37" s="114" t="str">
        <f t="shared" ref="A37" si="15">CONCATENATE($A$1,DEC2HEX(B37,3),"H")</f>
        <v>B24CH</v>
      </c>
      <c r="B37" s="86">
        <v>588</v>
      </c>
      <c r="C37" s="119" t="s">
        <v>92</v>
      </c>
      <c r="D37" s="121" t="s">
        <v>24</v>
      </c>
      <c r="E37" s="64" t="s">
        <v>4</v>
      </c>
      <c r="F37" s="96" t="s">
        <v>15</v>
      </c>
      <c r="G37" s="65" t="s">
        <v>15</v>
      </c>
      <c r="H37" s="117"/>
      <c r="I37" s="51" t="s">
        <v>12</v>
      </c>
      <c r="J37" s="51" t="s">
        <v>16</v>
      </c>
      <c r="K37" s="52"/>
      <c r="L37" s="52"/>
      <c r="M37" s="52"/>
      <c r="N37" s="52"/>
      <c r="O37" s="52"/>
      <c r="P37" s="52"/>
      <c r="Q37" s="52"/>
      <c r="R37" s="52"/>
      <c r="S37" s="52"/>
      <c r="T37" s="58"/>
      <c r="U37" s="52"/>
      <c r="V37" s="52"/>
      <c r="W37" s="52">
        <v>1</v>
      </c>
      <c r="X37" s="57">
        <v>0</v>
      </c>
      <c r="Y37" s="57">
        <v>0</v>
      </c>
    </row>
    <row r="38" spans="1:25" s="59" customFormat="1" ht="28.5" customHeight="1">
      <c r="A38" s="115"/>
      <c r="B38" s="86"/>
      <c r="C38" s="120"/>
      <c r="D38" s="122"/>
      <c r="E38" s="62" t="s">
        <v>5</v>
      </c>
      <c r="F38" s="97" t="s">
        <v>133</v>
      </c>
      <c r="G38" s="63" t="s">
        <v>15</v>
      </c>
      <c r="H38" s="118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7"/>
      <c r="Y38" s="57"/>
    </row>
    <row r="39" spans="1:25">
      <c r="A39" s="114" t="str">
        <f t="shared" ref="A39" si="16">CONCATENATE($A$1,DEC2HEX(B39,3),"H")</f>
        <v>B24DH</v>
      </c>
      <c r="B39" s="86">
        <v>589</v>
      </c>
      <c r="C39" s="119" t="s">
        <v>94</v>
      </c>
      <c r="D39" s="121" t="s">
        <v>93</v>
      </c>
      <c r="E39" s="72" t="s">
        <v>4</v>
      </c>
      <c r="F39" s="96" t="s">
        <v>15</v>
      </c>
      <c r="G39" s="73" t="s">
        <v>15</v>
      </c>
      <c r="H39" s="117"/>
      <c r="I39" s="60" t="s">
        <v>12</v>
      </c>
      <c r="J39" s="60" t="s">
        <v>16</v>
      </c>
      <c r="K39" s="61"/>
      <c r="L39" s="61"/>
      <c r="M39" s="61"/>
      <c r="N39" s="61"/>
      <c r="O39" s="61"/>
      <c r="P39" s="61"/>
      <c r="Q39" s="61"/>
      <c r="R39" s="61"/>
      <c r="S39" s="61"/>
      <c r="T39" s="67"/>
      <c r="U39" s="61"/>
      <c r="V39" s="61"/>
      <c r="W39" s="61">
        <v>1</v>
      </c>
      <c r="X39" s="66">
        <v>0</v>
      </c>
      <c r="Y39" s="66">
        <v>0</v>
      </c>
    </row>
    <row r="40" spans="1:25" ht="48.75" customHeight="1">
      <c r="A40" s="115"/>
      <c r="B40" s="86"/>
      <c r="C40" s="120"/>
      <c r="D40" s="122"/>
      <c r="E40" s="70" t="s">
        <v>5</v>
      </c>
      <c r="F40" s="97" t="s">
        <v>134</v>
      </c>
      <c r="G40" s="71" t="s">
        <v>15</v>
      </c>
      <c r="H40" s="118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6"/>
      <c r="Y40" s="66"/>
    </row>
    <row r="41" spans="1:25">
      <c r="A41" s="114" t="str">
        <f t="shared" ref="A41" si="17">CONCATENATE($A$1,DEC2HEX(B41,3),"H")</f>
        <v>B24EH</v>
      </c>
      <c r="B41" s="86">
        <v>590</v>
      </c>
      <c r="C41" s="119" t="s">
        <v>96</v>
      </c>
      <c r="D41" s="121" t="s">
        <v>95</v>
      </c>
      <c r="E41" s="81" t="s">
        <v>4</v>
      </c>
      <c r="F41" s="96" t="s">
        <v>15</v>
      </c>
      <c r="G41" s="87" t="s">
        <v>15</v>
      </c>
      <c r="H41" s="117"/>
      <c r="I41" s="60" t="s">
        <v>12</v>
      </c>
      <c r="J41" s="60" t="s">
        <v>16</v>
      </c>
      <c r="K41" s="61"/>
      <c r="L41" s="61"/>
      <c r="M41" s="61"/>
      <c r="N41" s="61"/>
      <c r="O41" s="61"/>
      <c r="P41" s="61"/>
      <c r="Q41" s="61"/>
      <c r="R41" s="61"/>
      <c r="S41" s="61"/>
      <c r="T41" s="67"/>
      <c r="U41" s="61"/>
      <c r="V41" s="61"/>
      <c r="W41" s="61">
        <v>1</v>
      </c>
      <c r="X41" s="66">
        <v>0</v>
      </c>
      <c r="Y41" s="66">
        <v>0</v>
      </c>
    </row>
    <row r="42" spans="1:25" ht="28.5" customHeight="1">
      <c r="A42" s="115"/>
      <c r="B42" s="86"/>
      <c r="C42" s="120"/>
      <c r="D42" s="122"/>
      <c r="E42" s="77" t="s">
        <v>5</v>
      </c>
      <c r="F42" s="97" t="s">
        <v>135</v>
      </c>
      <c r="G42" s="78" t="s">
        <v>15</v>
      </c>
      <c r="H42" s="118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6"/>
      <c r="Y42" s="66"/>
    </row>
    <row r="43" spans="1:25">
      <c r="A43" s="114" t="str">
        <f t="shared" ref="A43" si="18">CONCATENATE($A$1,DEC2HEX(B43,3),"H")</f>
        <v>B24FH</v>
      </c>
      <c r="B43" s="86">
        <v>591</v>
      </c>
      <c r="C43" s="119" t="s">
        <v>101</v>
      </c>
      <c r="D43" s="119" t="s">
        <v>102</v>
      </c>
      <c r="E43" s="68" t="s">
        <v>30</v>
      </c>
      <c r="F43" s="96" t="s">
        <v>32</v>
      </c>
      <c r="G43" s="25" t="s">
        <v>32</v>
      </c>
      <c r="H43" s="117"/>
      <c r="I43" s="2" t="s">
        <v>32</v>
      </c>
      <c r="J43" s="2" t="s">
        <v>16</v>
      </c>
      <c r="K43" s="3"/>
      <c r="L43" s="3"/>
      <c r="M43" s="3"/>
      <c r="N43" s="3"/>
      <c r="O43" s="3"/>
      <c r="P43" s="3"/>
      <c r="Q43" s="3"/>
      <c r="R43" s="3"/>
      <c r="S43" s="3"/>
      <c r="T43" s="33"/>
      <c r="U43" s="3"/>
      <c r="V43" s="3"/>
      <c r="W43" s="3">
        <v>1</v>
      </c>
      <c r="X43" s="30">
        <v>0</v>
      </c>
      <c r="Y43" s="30">
        <v>0</v>
      </c>
    </row>
    <row r="44" spans="1:25" ht="28.5" customHeight="1">
      <c r="A44" s="115"/>
      <c r="B44" s="86"/>
      <c r="C44" s="120"/>
      <c r="D44" s="120"/>
      <c r="E44" s="69" t="s">
        <v>33</v>
      </c>
      <c r="F44" s="97" t="s">
        <v>136</v>
      </c>
      <c r="G44" s="5" t="s">
        <v>32</v>
      </c>
      <c r="H44" s="118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0"/>
      <c r="Y44" s="30"/>
    </row>
    <row r="45" spans="1:25" s="74" customFormat="1">
      <c r="A45" s="114" t="str">
        <f t="shared" ref="A45" si="19">CONCATENATE($A$1,DEC2HEX(B45,3),"H")</f>
        <v>B440H</v>
      </c>
      <c r="B45" s="86">
        <v>1088</v>
      </c>
      <c r="C45" s="119" t="s">
        <v>103</v>
      </c>
      <c r="D45" s="121" t="s">
        <v>112</v>
      </c>
      <c r="E45" s="10" t="s">
        <v>34</v>
      </c>
      <c r="F45" s="94" t="s">
        <v>32</v>
      </c>
      <c r="G45" s="24" t="s">
        <v>32</v>
      </c>
      <c r="H45" s="117"/>
      <c r="I45" s="2" t="s">
        <v>32</v>
      </c>
      <c r="J45" s="2" t="s">
        <v>20</v>
      </c>
      <c r="K45" s="3"/>
      <c r="L45" s="3"/>
      <c r="M45" s="3"/>
      <c r="N45" s="3"/>
      <c r="O45" s="3"/>
      <c r="P45" s="3"/>
      <c r="Q45" s="3"/>
      <c r="R45" s="3"/>
      <c r="S45" s="3"/>
      <c r="T45" s="33"/>
      <c r="U45" s="3"/>
      <c r="V45" s="3"/>
      <c r="W45" s="3">
        <v>1</v>
      </c>
      <c r="X45" s="30">
        <v>0</v>
      </c>
      <c r="Y45" s="30">
        <v>0</v>
      </c>
    </row>
    <row r="46" spans="1:25" s="74" customFormat="1">
      <c r="A46" s="115"/>
      <c r="B46" s="86"/>
      <c r="C46" s="120"/>
      <c r="D46" s="122"/>
      <c r="E46" s="9" t="s">
        <v>35</v>
      </c>
      <c r="F46" s="98" t="s">
        <v>137</v>
      </c>
      <c r="G46" s="6" t="s">
        <v>32</v>
      </c>
      <c r="H46" s="118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0"/>
      <c r="Y46" s="30"/>
    </row>
    <row r="47" spans="1:25" s="74" customFormat="1">
      <c r="A47" s="114" t="str">
        <f>CONCATENATE($A$1,DEC2HEX(B47,3),"H")</f>
        <v>B440H</v>
      </c>
      <c r="B47" s="86">
        <v>1088</v>
      </c>
      <c r="C47" s="119" t="s">
        <v>152</v>
      </c>
      <c r="D47" s="121" t="s">
        <v>153</v>
      </c>
      <c r="E47" s="80" t="s">
        <v>34</v>
      </c>
      <c r="F47" s="94" t="s">
        <v>12</v>
      </c>
      <c r="G47" s="24" t="s">
        <v>12</v>
      </c>
      <c r="H47" s="117"/>
      <c r="I47" s="75" t="s">
        <v>12</v>
      </c>
      <c r="J47" s="75" t="s">
        <v>20</v>
      </c>
      <c r="K47" s="76"/>
      <c r="L47" s="76"/>
      <c r="M47" s="76"/>
      <c r="N47" s="76"/>
      <c r="O47" s="76"/>
      <c r="P47" s="76"/>
      <c r="Q47" s="76"/>
      <c r="R47" s="76"/>
      <c r="S47" s="76"/>
      <c r="T47" s="89"/>
      <c r="U47" s="76"/>
      <c r="V47" s="76"/>
      <c r="W47" s="76">
        <v>1</v>
      </c>
      <c r="X47" s="88">
        <v>0</v>
      </c>
      <c r="Y47" s="88">
        <v>0</v>
      </c>
    </row>
    <row r="48" spans="1:25" s="74" customFormat="1">
      <c r="A48" s="115"/>
      <c r="B48" s="86"/>
      <c r="C48" s="120"/>
      <c r="D48" s="122"/>
      <c r="E48" s="79" t="s">
        <v>35</v>
      </c>
      <c r="F48" s="98" t="s">
        <v>154</v>
      </c>
      <c r="G48" s="6" t="s">
        <v>12</v>
      </c>
      <c r="H48" s="118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88"/>
      <c r="Y48" s="88"/>
    </row>
    <row r="49" spans="1:25" s="74" customFormat="1">
      <c r="A49" s="116" t="str">
        <f t="shared" ref="A49" si="20">CONCATENATE($A$1,DEC2HEX(B49,3),"H")</f>
        <v>B640H</v>
      </c>
      <c r="B49" s="86">
        <v>1600</v>
      </c>
      <c r="C49" s="119" t="s">
        <v>75</v>
      </c>
      <c r="D49" s="145" t="s">
        <v>109</v>
      </c>
      <c r="E49" s="10" t="s">
        <v>36</v>
      </c>
      <c r="F49" s="99" t="s">
        <v>118</v>
      </c>
      <c r="G49" s="14" t="s">
        <v>37</v>
      </c>
      <c r="H49" s="127"/>
      <c r="I49" s="3" t="s">
        <v>32</v>
      </c>
      <c r="J49" s="3" t="s">
        <v>21</v>
      </c>
      <c r="K49" s="3"/>
      <c r="L49" s="3"/>
      <c r="M49" s="3"/>
      <c r="N49" s="3"/>
      <c r="O49" s="3"/>
      <c r="P49" s="3"/>
      <c r="Q49" s="3"/>
      <c r="R49" s="3"/>
      <c r="S49" s="3"/>
      <c r="T49" s="33"/>
      <c r="U49" s="3"/>
      <c r="V49" s="3"/>
      <c r="W49" s="3">
        <v>1</v>
      </c>
      <c r="X49" s="30">
        <v>0</v>
      </c>
      <c r="Y49" s="30">
        <v>0</v>
      </c>
    </row>
    <row r="50" spans="1:25">
      <c r="A50" s="115"/>
      <c r="B50" s="86"/>
      <c r="C50" s="120"/>
      <c r="D50" s="146"/>
      <c r="E50" s="9" t="s">
        <v>31</v>
      </c>
      <c r="F50" s="100" t="s">
        <v>118</v>
      </c>
      <c r="G50" s="2" t="s">
        <v>37</v>
      </c>
      <c r="H50" s="128"/>
      <c r="I50" s="2"/>
      <c r="J50" s="2"/>
      <c r="K50" s="16"/>
      <c r="L50" s="16"/>
      <c r="M50" s="16"/>
      <c r="N50" s="16"/>
      <c r="O50" s="16"/>
      <c r="P50" s="16"/>
      <c r="Q50" s="16"/>
      <c r="R50" s="16"/>
      <c r="S50" s="3"/>
      <c r="T50" s="3"/>
      <c r="U50" s="3"/>
      <c r="V50" s="3"/>
      <c r="W50" s="3"/>
      <c r="X50" s="30"/>
      <c r="Y50" s="30"/>
    </row>
    <row r="51" spans="1:25">
      <c r="A51" s="114" t="str">
        <f t="shared" ref="A51" si="21">CONCATENATE($A$1,DEC2HEX(B51,3),"H")</f>
        <v>B641H</v>
      </c>
      <c r="B51" s="86">
        <v>1601</v>
      </c>
      <c r="C51" s="119" t="s">
        <v>104</v>
      </c>
      <c r="D51" s="121" t="s">
        <v>110</v>
      </c>
      <c r="E51" s="80" t="s">
        <v>30</v>
      </c>
      <c r="F51" s="104" t="s">
        <v>118</v>
      </c>
      <c r="G51" s="84" t="s">
        <v>37</v>
      </c>
      <c r="H51" s="123" t="s">
        <v>151</v>
      </c>
      <c r="I51" s="76" t="s">
        <v>12</v>
      </c>
      <c r="J51" s="76" t="s">
        <v>21</v>
      </c>
      <c r="K51" s="76"/>
      <c r="L51" s="76"/>
      <c r="M51" s="76"/>
      <c r="N51" s="76"/>
      <c r="O51" s="76"/>
      <c r="P51" s="76"/>
      <c r="Q51" s="76"/>
      <c r="R51" s="76"/>
      <c r="S51" s="76"/>
      <c r="T51" s="89"/>
      <c r="U51" s="76"/>
      <c r="V51" s="76"/>
      <c r="W51" s="76">
        <v>1</v>
      </c>
      <c r="X51" s="88">
        <v>0</v>
      </c>
      <c r="Y51" s="88">
        <v>0</v>
      </c>
    </row>
    <row r="52" spans="1:25">
      <c r="A52" s="115"/>
      <c r="B52" s="86"/>
      <c r="C52" s="120"/>
      <c r="D52" s="122"/>
      <c r="E52" s="79" t="s">
        <v>33</v>
      </c>
      <c r="F52" s="105" t="s">
        <v>138</v>
      </c>
      <c r="G52" s="75" t="s">
        <v>37</v>
      </c>
      <c r="H52" s="129"/>
      <c r="I52" s="75"/>
      <c r="J52" s="75"/>
      <c r="K52" s="85"/>
      <c r="L52" s="85"/>
      <c r="M52" s="85"/>
      <c r="N52" s="85"/>
      <c r="O52" s="85"/>
      <c r="P52" s="85"/>
      <c r="Q52" s="85"/>
      <c r="R52" s="85"/>
      <c r="S52" s="76"/>
      <c r="T52" s="76"/>
      <c r="U52" s="76"/>
      <c r="V52" s="76"/>
      <c r="W52" s="76"/>
      <c r="X52" s="88"/>
      <c r="Y52" s="88"/>
    </row>
    <row r="53" spans="1:25">
      <c r="A53" s="114" t="str">
        <f t="shared" ref="A53" si="22">CONCATENATE($A$1,DEC2HEX(B53,3),"H")</f>
        <v>B642H</v>
      </c>
      <c r="B53" s="86">
        <v>1602</v>
      </c>
      <c r="C53" s="119" t="s">
        <v>113</v>
      </c>
      <c r="D53" s="121" t="s">
        <v>25</v>
      </c>
      <c r="E53" s="80" t="s">
        <v>114</v>
      </c>
      <c r="F53" s="106" t="s">
        <v>118</v>
      </c>
      <c r="G53" s="83" t="s">
        <v>37</v>
      </c>
      <c r="H53" s="123" t="s">
        <v>151</v>
      </c>
      <c r="I53" s="75" t="s">
        <v>12</v>
      </c>
      <c r="J53" s="75" t="s">
        <v>21</v>
      </c>
      <c r="K53" s="76"/>
      <c r="L53" s="76"/>
      <c r="M53" s="76"/>
      <c r="N53" s="76"/>
      <c r="O53" s="76"/>
      <c r="P53" s="76"/>
      <c r="Q53" s="76"/>
      <c r="R53" s="76"/>
      <c r="S53" s="76"/>
      <c r="T53" s="89"/>
      <c r="U53" s="76"/>
      <c r="V53" s="76"/>
      <c r="W53" s="76">
        <v>1</v>
      </c>
      <c r="X53" s="88">
        <v>0</v>
      </c>
      <c r="Y53" s="88">
        <v>0</v>
      </c>
    </row>
    <row r="54" spans="1:25" s="74" customFormat="1">
      <c r="A54" s="114"/>
      <c r="B54" s="86"/>
      <c r="C54" s="143"/>
      <c r="D54" s="144"/>
      <c r="E54" s="92" t="s">
        <v>115</v>
      </c>
      <c r="F54" s="107" t="s">
        <v>139</v>
      </c>
      <c r="G54" s="83" t="s">
        <v>37</v>
      </c>
      <c r="H54" s="125"/>
      <c r="I54" s="75"/>
      <c r="J54" s="75"/>
      <c r="K54" s="76"/>
      <c r="L54" s="76"/>
      <c r="M54" s="76"/>
      <c r="N54" s="76"/>
      <c r="O54" s="76"/>
      <c r="P54" s="76"/>
      <c r="Q54" s="76"/>
      <c r="R54" s="76"/>
      <c r="S54" s="76"/>
      <c r="T54" s="89"/>
      <c r="U54" s="76"/>
      <c r="V54" s="76"/>
      <c r="W54" s="76"/>
      <c r="X54" s="88"/>
      <c r="Y54" s="88"/>
    </row>
    <row r="55" spans="1:25" s="74" customFormat="1" ht="28.5" customHeight="1">
      <c r="A55" s="115"/>
      <c r="B55" s="86"/>
      <c r="C55" s="143"/>
      <c r="D55" s="144"/>
      <c r="E55" s="93" t="s">
        <v>116</v>
      </c>
      <c r="F55" s="108" t="s">
        <v>140</v>
      </c>
      <c r="G55" s="82" t="s">
        <v>37</v>
      </c>
      <c r="H55" s="125"/>
      <c r="I55" s="76"/>
      <c r="J55" s="76"/>
      <c r="K55" s="85"/>
      <c r="L55" s="85"/>
      <c r="M55" s="85"/>
      <c r="N55" s="85"/>
      <c r="O55" s="85"/>
      <c r="P55" s="85"/>
      <c r="Q55" s="85"/>
      <c r="R55" s="85"/>
      <c r="S55" s="76"/>
      <c r="T55" s="76"/>
      <c r="U55" s="76"/>
      <c r="V55" s="76"/>
      <c r="W55" s="76"/>
      <c r="X55" s="88"/>
      <c r="Y55" s="88"/>
    </row>
    <row r="56" spans="1:25" s="74" customFormat="1">
      <c r="A56" s="116" t="str">
        <f t="shared" ref="A56" si="23">CONCATENATE($A$1,DEC2HEX(B56,3),"H")</f>
        <v>B740H</v>
      </c>
      <c r="B56" s="86">
        <v>1856</v>
      </c>
      <c r="C56" s="119" t="s">
        <v>76</v>
      </c>
      <c r="D56" s="121" t="s">
        <v>26</v>
      </c>
      <c r="E56" s="10" t="s">
        <v>38</v>
      </c>
      <c r="F56" s="109" t="s">
        <v>111</v>
      </c>
      <c r="G56" s="24" t="s">
        <v>32</v>
      </c>
      <c r="H56" s="123" t="s">
        <v>151</v>
      </c>
      <c r="I56" s="2" t="s">
        <v>32</v>
      </c>
      <c r="J56" s="2" t="s">
        <v>21</v>
      </c>
      <c r="K56" s="3"/>
      <c r="L56" s="3"/>
      <c r="M56" s="3"/>
      <c r="N56" s="3"/>
      <c r="O56" s="3"/>
      <c r="P56" s="3"/>
      <c r="Q56" s="3"/>
      <c r="R56" s="3"/>
      <c r="S56" s="3"/>
      <c r="T56" s="33"/>
      <c r="U56" s="3"/>
      <c r="V56" s="3"/>
      <c r="W56" s="3">
        <v>1</v>
      </c>
      <c r="X56" s="30">
        <v>0</v>
      </c>
      <c r="Y56" s="30">
        <v>0</v>
      </c>
    </row>
    <row r="57" spans="1:25" s="74" customFormat="1">
      <c r="A57" s="114"/>
      <c r="B57" s="86"/>
      <c r="C57" s="143"/>
      <c r="D57" s="144"/>
      <c r="E57" s="12" t="s">
        <v>39</v>
      </c>
      <c r="F57" s="110" t="s">
        <v>141</v>
      </c>
      <c r="G57" s="26" t="s">
        <v>15</v>
      </c>
      <c r="H57" s="126"/>
      <c r="I57" s="3"/>
      <c r="J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0"/>
      <c r="Y57" s="30"/>
    </row>
    <row r="58" spans="1:25">
      <c r="A58" s="114"/>
      <c r="B58" s="86"/>
      <c r="C58" s="143"/>
      <c r="D58" s="144"/>
      <c r="E58" s="22" t="s">
        <v>40</v>
      </c>
      <c r="F58" s="111" t="s">
        <v>142</v>
      </c>
      <c r="G58" s="13" t="s">
        <v>15</v>
      </c>
      <c r="H58" s="126"/>
      <c r="I58" s="2"/>
      <c r="J58" s="2"/>
      <c r="K58" s="3"/>
      <c r="L58" s="3"/>
      <c r="M58" s="3"/>
      <c r="N58" s="3"/>
      <c r="O58" s="3"/>
      <c r="P58" s="3"/>
      <c r="Q58" s="3"/>
      <c r="R58" s="3"/>
      <c r="S58" s="3"/>
      <c r="T58" s="33"/>
      <c r="U58" s="3"/>
      <c r="V58" s="3"/>
      <c r="W58" s="3"/>
      <c r="X58" s="30"/>
      <c r="Y58" s="30"/>
    </row>
    <row r="59" spans="1:25" ht="28.5" customHeight="1">
      <c r="A59" s="115"/>
      <c r="B59" s="86"/>
      <c r="C59" s="120"/>
      <c r="D59" s="122"/>
      <c r="E59" s="9" t="s">
        <v>41</v>
      </c>
      <c r="F59" s="112" t="s">
        <v>143</v>
      </c>
      <c r="G59" s="6" t="s">
        <v>32</v>
      </c>
      <c r="H59" s="124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0"/>
      <c r="Y59" s="30"/>
    </row>
    <row r="60" spans="1:25">
      <c r="A60" s="114" t="str">
        <f t="shared" ref="A60" si="24">CONCATENATE($A$1,DEC2HEX(B60,3),"H")</f>
        <v>B741H</v>
      </c>
      <c r="B60" s="86">
        <v>1857</v>
      </c>
      <c r="C60" s="119" t="s">
        <v>107</v>
      </c>
      <c r="D60" s="119" t="s">
        <v>108</v>
      </c>
      <c r="E60" s="80" t="s">
        <v>30</v>
      </c>
      <c r="F60" s="109" t="s">
        <v>111</v>
      </c>
      <c r="G60" s="24" t="s">
        <v>12</v>
      </c>
      <c r="H60" s="123" t="s">
        <v>151</v>
      </c>
      <c r="I60" s="75" t="s">
        <v>12</v>
      </c>
      <c r="J60" s="75" t="s">
        <v>21</v>
      </c>
      <c r="K60" s="76"/>
      <c r="L60" s="76"/>
      <c r="M60" s="76"/>
      <c r="N60" s="76"/>
      <c r="O60" s="76"/>
      <c r="P60" s="76"/>
      <c r="Q60" s="76"/>
      <c r="R60" s="76"/>
      <c r="S60" s="76"/>
      <c r="T60" s="89"/>
      <c r="U60" s="76"/>
      <c r="V60" s="76"/>
      <c r="W60" s="76">
        <v>1</v>
      </c>
      <c r="X60" s="88">
        <v>0</v>
      </c>
      <c r="Y60" s="88">
        <v>0</v>
      </c>
    </row>
    <row r="61" spans="1:25">
      <c r="A61" s="115"/>
      <c r="B61" s="86"/>
      <c r="C61" s="120"/>
      <c r="D61" s="120"/>
      <c r="E61" s="79" t="s">
        <v>33</v>
      </c>
      <c r="F61" s="112" t="s">
        <v>144</v>
      </c>
      <c r="G61" s="6" t="s">
        <v>12</v>
      </c>
      <c r="H61" s="124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88"/>
      <c r="Y61" s="88"/>
    </row>
    <row r="62" spans="1:25">
      <c r="A62" s="114" t="str">
        <f t="shared" ref="A62" si="25">CONCATENATE($A$1,DEC2HEX(B62,3),"H")</f>
        <v>B742H</v>
      </c>
      <c r="B62" s="86">
        <v>1858</v>
      </c>
      <c r="C62" s="119" t="s">
        <v>105</v>
      </c>
      <c r="D62" s="121" t="s">
        <v>106</v>
      </c>
      <c r="E62" s="80" t="s">
        <v>30</v>
      </c>
      <c r="F62" s="104" t="s">
        <v>118</v>
      </c>
      <c r="G62" s="84" t="s">
        <v>37</v>
      </c>
      <c r="H62" s="123" t="s">
        <v>151</v>
      </c>
      <c r="I62" s="76" t="s">
        <v>12</v>
      </c>
      <c r="J62" s="76" t="s">
        <v>21</v>
      </c>
      <c r="K62" s="86"/>
      <c r="L62" s="86"/>
      <c r="M62" s="86"/>
      <c r="N62" s="86"/>
      <c r="O62" s="86"/>
      <c r="P62" s="86"/>
      <c r="Q62" s="86"/>
      <c r="R62" s="86"/>
      <c r="S62" s="76"/>
      <c r="T62" s="89"/>
      <c r="U62" s="76"/>
      <c r="V62" s="76"/>
      <c r="W62" s="76">
        <v>1</v>
      </c>
      <c r="X62" s="88">
        <v>0</v>
      </c>
      <c r="Y62" s="88">
        <v>0</v>
      </c>
    </row>
    <row r="63" spans="1:25">
      <c r="A63" s="115"/>
      <c r="B63" s="86"/>
      <c r="C63" s="120"/>
      <c r="D63" s="122"/>
      <c r="E63" s="79" t="s">
        <v>33</v>
      </c>
      <c r="F63" s="105" t="s">
        <v>145</v>
      </c>
      <c r="G63" s="75" t="s">
        <v>37</v>
      </c>
      <c r="H63" s="129"/>
      <c r="I63" s="75"/>
      <c r="J63" s="75"/>
      <c r="K63" s="85"/>
      <c r="L63" s="85"/>
      <c r="M63" s="85"/>
      <c r="N63" s="85"/>
      <c r="O63" s="85"/>
      <c r="P63" s="85"/>
      <c r="Q63" s="85"/>
      <c r="R63" s="85"/>
      <c r="S63" s="76"/>
      <c r="T63" s="76"/>
      <c r="U63" s="76"/>
      <c r="V63" s="76"/>
      <c r="W63" s="76"/>
      <c r="X63" s="88"/>
      <c r="Y63" s="88"/>
    </row>
    <row r="64" spans="1:25">
      <c r="A64" s="116" t="str">
        <f t="shared" ref="A64" si="26">CONCATENATE($A$1,DEC2HEX(B64,3),"H")</f>
        <v>B743H</v>
      </c>
      <c r="B64" s="86">
        <v>1859</v>
      </c>
      <c r="C64" s="119" t="s">
        <v>77</v>
      </c>
      <c r="D64" s="119" t="s">
        <v>27</v>
      </c>
      <c r="E64" s="10" t="s">
        <v>30</v>
      </c>
      <c r="F64" s="101" t="s">
        <v>111</v>
      </c>
      <c r="G64" s="24" t="s">
        <v>32</v>
      </c>
      <c r="H64" s="123"/>
      <c r="I64" s="3" t="s">
        <v>32</v>
      </c>
      <c r="J64" s="3" t="s">
        <v>21</v>
      </c>
      <c r="K64" s="17"/>
      <c r="L64" s="17"/>
      <c r="M64" s="17"/>
      <c r="N64" s="17"/>
      <c r="O64" s="17"/>
      <c r="P64" s="17"/>
      <c r="Q64" s="17"/>
      <c r="R64" s="17"/>
      <c r="S64" s="3"/>
      <c r="T64" s="33"/>
      <c r="U64" s="3"/>
      <c r="V64" s="3"/>
      <c r="W64" s="3">
        <v>1</v>
      </c>
      <c r="X64" s="30">
        <v>0</v>
      </c>
      <c r="Y64" s="30">
        <v>0</v>
      </c>
    </row>
    <row r="65" spans="1:25">
      <c r="A65" s="115"/>
      <c r="B65" s="86"/>
      <c r="C65" s="120"/>
      <c r="D65" s="120"/>
      <c r="E65" s="9" t="s">
        <v>33</v>
      </c>
      <c r="F65" s="98" t="s">
        <v>111</v>
      </c>
      <c r="G65" s="6" t="s">
        <v>32</v>
      </c>
      <c r="H65" s="124"/>
      <c r="I65" s="2"/>
      <c r="J65" s="2"/>
      <c r="K65" s="16"/>
      <c r="L65" s="16"/>
      <c r="M65" s="16"/>
      <c r="N65" s="16"/>
      <c r="O65" s="16"/>
      <c r="P65" s="16"/>
      <c r="Q65" s="16"/>
      <c r="R65" s="16"/>
      <c r="S65" s="3"/>
      <c r="T65" s="3"/>
      <c r="U65" s="3"/>
      <c r="V65" s="3"/>
      <c r="W65" s="3"/>
      <c r="X65" s="30"/>
      <c r="Y65" s="30"/>
    </row>
  </sheetData>
  <mergeCells count="98">
    <mergeCell ref="H47:H48"/>
    <mergeCell ref="C33:C34"/>
    <mergeCell ref="D33:D34"/>
    <mergeCell ref="H33:H34"/>
    <mergeCell ref="C35:C36"/>
    <mergeCell ref="D35:D36"/>
    <mergeCell ref="H35:H36"/>
    <mergeCell ref="H41:H42"/>
    <mergeCell ref="D41:D42"/>
    <mergeCell ref="C17:C18"/>
    <mergeCell ref="D17:D18"/>
    <mergeCell ref="C21:C22"/>
    <mergeCell ref="D21:D22"/>
    <mergeCell ref="C62:C63"/>
    <mergeCell ref="D62:D63"/>
    <mergeCell ref="C43:C44"/>
    <mergeCell ref="D43:D44"/>
    <mergeCell ref="C39:C40"/>
    <mergeCell ref="D39:D40"/>
    <mergeCell ref="C51:C52"/>
    <mergeCell ref="D51:D52"/>
    <mergeCell ref="D29:D30"/>
    <mergeCell ref="C47:C48"/>
    <mergeCell ref="D47:D48"/>
    <mergeCell ref="C41:C42"/>
    <mergeCell ref="C64:C65"/>
    <mergeCell ref="D64:D65"/>
    <mergeCell ref="C56:C59"/>
    <mergeCell ref="D56:D59"/>
    <mergeCell ref="C19:C20"/>
    <mergeCell ref="D19:D20"/>
    <mergeCell ref="C60:C61"/>
    <mergeCell ref="D60:D61"/>
    <mergeCell ref="C49:C50"/>
    <mergeCell ref="D49:D50"/>
    <mergeCell ref="C45:C46"/>
    <mergeCell ref="D45:D46"/>
    <mergeCell ref="C53:C55"/>
    <mergeCell ref="D53:D55"/>
    <mergeCell ref="C31:C32"/>
    <mergeCell ref="D31:D32"/>
    <mergeCell ref="D11:D12"/>
    <mergeCell ref="C11:C12"/>
    <mergeCell ref="C7:C8"/>
    <mergeCell ref="D7:D8"/>
    <mergeCell ref="C13:C14"/>
    <mergeCell ref="D13:D14"/>
    <mergeCell ref="G1:G2"/>
    <mergeCell ref="C5:C6"/>
    <mergeCell ref="D5:D6"/>
    <mergeCell ref="D9:D10"/>
    <mergeCell ref="C9:C10"/>
    <mergeCell ref="F1:F2"/>
    <mergeCell ref="B1:B2"/>
    <mergeCell ref="C1:C2"/>
    <mergeCell ref="D1:D2"/>
    <mergeCell ref="E1:E2"/>
    <mergeCell ref="D3:D4"/>
    <mergeCell ref="C3:C4"/>
    <mergeCell ref="K1:V1"/>
    <mergeCell ref="W1:Y1"/>
    <mergeCell ref="H17:H18"/>
    <mergeCell ref="H15:H16"/>
    <mergeCell ref="H21:H22"/>
    <mergeCell ref="H13:H14"/>
    <mergeCell ref="H9:H10"/>
    <mergeCell ref="H11:H12"/>
    <mergeCell ref="H3:H4"/>
    <mergeCell ref="H5:H6"/>
    <mergeCell ref="H7:H8"/>
    <mergeCell ref="H19:H20"/>
    <mergeCell ref="C15:C16"/>
    <mergeCell ref="D15:D16"/>
    <mergeCell ref="H64:H65"/>
    <mergeCell ref="H53:H55"/>
    <mergeCell ref="H56:H59"/>
    <mergeCell ref="H49:H50"/>
    <mergeCell ref="H51:H52"/>
    <mergeCell ref="H60:H61"/>
    <mergeCell ref="H62:H63"/>
    <mergeCell ref="H27:H28"/>
    <mergeCell ref="C27:C28"/>
    <mergeCell ref="D27:D28"/>
    <mergeCell ref="H45:H46"/>
    <mergeCell ref="H31:H32"/>
    <mergeCell ref="H43:H44"/>
    <mergeCell ref="C29:C30"/>
    <mergeCell ref="H23:H24"/>
    <mergeCell ref="C23:C24"/>
    <mergeCell ref="D23:D24"/>
    <mergeCell ref="C25:C26"/>
    <mergeCell ref="D25:D26"/>
    <mergeCell ref="H25:H26"/>
    <mergeCell ref="H29:H30"/>
    <mergeCell ref="H37:H38"/>
    <mergeCell ref="C37:C38"/>
    <mergeCell ref="D37:D38"/>
    <mergeCell ref="H39:H40"/>
  </mergeCells>
  <phoneticPr fontId="1"/>
  <conditionalFormatting sqref="I3:Y65">
    <cfRule type="expression" dxfId="1" priority="97">
      <formula>$A3=""</formula>
    </cfRule>
  </conditionalFormatting>
  <conditionalFormatting sqref="S3:V65">
    <cfRule type="expression" dxfId="0" priority="5">
      <formula>$R3&lt;&gt;"eProcStopType_Cycle"</formula>
    </cfRule>
  </conditionalFormatting>
  <dataValidations disablePrompts="1" count="1">
    <dataValidation type="list" allowBlank="1" showInputMessage="1" showErrorMessage="1" sqref="J3:J65">
      <formula1>#REF!</formula1>
    </dataValidation>
  </dataValidations>
  <pageMargins left="0.74803149606299213" right="0.74803149606299213" top="0.55118110236220474" bottom="0.35433070866141736" header="0.31496062992125984" footer="0.15748031496062992"/>
  <pageSetup paperSize="9" scale="60" orientation="portrait" r:id="rId1"/>
  <headerFooter>
    <oddHeader>&amp;L&amp;"Xerox Sans,太字"&amp;20&amp;UDevice Status List for A4-Finisher</oddHeader>
    <oddFooter>&amp;C&amp;"ＭＳ Ｐゴシック,標準"&amp;20 &amp;P/&amp;N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B2:C10"/>
  <sheetViews>
    <sheetView zoomScale="85" zoomScaleNormal="85" workbookViewId="0">
      <selection activeCell="E15" sqref="E15"/>
    </sheetView>
  </sheetViews>
  <sheetFormatPr defaultRowHeight="15"/>
  <cols>
    <col min="1" max="1" width="2.375" style="1" customWidth="1"/>
    <col min="2" max="2" width="35" style="1" customWidth="1"/>
    <col min="3" max="3" width="25" style="1" customWidth="1"/>
    <col min="4" max="6" width="9" style="1"/>
    <col min="7" max="7" width="9" style="1" customWidth="1"/>
    <col min="8" max="16384" width="9" style="1"/>
  </cols>
  <sheetData>
    <row r="2" spans="2:3">
      <c r="B2" s="35" t="s">
        <v>49</v>
      </c>
      <c r="C2" s="36" t="s">
        <v>45</v>
      </c>
    </row>
    <row r="4" spans="2:3">
      <c r="B4" s="21" t="s">
        <v>50</v>
      </c>
    </row>
    <row r="5" spans="2:3">
      <c r="B5" s="35" t="s">
        <v>51</v>
      </c>
      <c r="C5" s="36" t="s">
        <v>59</v>
      </c>
    </row>
    <row r="6" spans="2:3">
      <c r="B6" s="35" t="s">
        <v>52</v>
      </c>
      <c r="C6" s="37">
        <v>0</v>
      </c>
    </row>
    <row r="7" spans="2:3">
      <c r="B7" s="35" t="s">
        <v>53</v>
      </c>
      <c r="C7" s="37" t="s">
        <v>60</v>
      </c>
    </row>
    <row r="9" spans="2:3">
      <c r="B9" s="21" t="s">
        <v>54</v>
      </c>
    </row>
    <row r="10" spans="2:3">
      <c r="B10" s="34" t="s">
        <v>55</v>
      </c>
      <c r="C10" s="36" t="s">
        <v>61</v>
      </c>
    </row>
  </sheetData>
  <dataConsolidate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改定履歴</vt:lpstr>
      <vt:lpstr>Global A4-Finisher</vt:lpstr>
      <vt:lpstr>ソースコード生成情報</vt:lpstr>
      <vt:lpstr>'Global A4-Finisher'!Print_Area</vt:lpstr>
      <vt:lpstr>'Global A4-Finisher'!Print_Titles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Lee, JaeEun(FXK R&amp;D DC.KOR)</cp:lastModifiedBy>
  <cp:lastPrinted>2015-04-19T07:05:50Z</cp:lastPrinted>
  <dcterms:created xsi:type="dcterms:W3CDTF">2006-09-13T11:12:02Z</dcterms:created>
  <dcterms:modified xsi:type="dcterms:W3CDTF">2015-04-19T09:25:57Z</dcterms:modified>
</cp:coreProperties>
</file>