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6.xml" ContentType="application/vnd.ms-excel.controlproperties+xml"/>
  <Override PartName="/xl/sharedStrings.xml" ContentType="application/vnd.openxmlformats-officedocument.spreadsheetml.sharedString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0" windowWidth="21840" windowHeight="13035" activeTab="2"/>
  </bookViews>
  <sheets>
    <sheet name="表紙" sheetId="6" r:id="rId1"/>
    <sheet name="改訂履歴" sheetId="4" r:id="rId2"/>
    <sheet name="リスト" sheetId="2" r:id="rId3"/>
    <sheet name="ソース生成" sheetId="5" r:id="rId4"/>
  </sheets>
  <functionGroups/>
  <definedNames>
    <definedName name="_xlnm._FilterDatabase" localSheetId="2" hidden="1">リスト!$A$1:$AE$155</definedName>
    <definedName name="_xlnm.Print_Area" localSheetId="2">リスト!$A:$U</definedName>
    <definedName name="_xlnm.Print_Area" localSheetId="1">改訂履歴!$A:$D</definedName>
    <definedName name="_xlnm.Print_Titles" localSheetId="2">リスト!$1:$2</definedName>
    <definedName name="_xlnm.Print_Titles" localSheetId="1">改訂履歴!$1:$3</definedName>
  </definedNames>
  <calcPr calcId="124519"/>
</workbook>
</file>

<file path=xl/calcChain.xml><?xml version="1.0" encoding="utf-8"?>
<calcChain xmlns="http://schemas.openxmlformats.org/spreadsheetml/2006/main">
  <c r="M17" i="5"/>
  <c r="L17"/>
  <c r="M16"/>
  <c r="M15"/>
  <c r="L15"/>
  <c r="M14"/>
  <c r="M13"/>
  <c r="L13"/>
  <c r="M12"/>
</calcChain>
</file>

<file path=xl/sharedStrings.xml><?xml version="1.0" encoding="utf-8"?>
<sst xmlns="http://schemas.openxmlformats.org/spreadsheetml/2006/main" count="2265" uniqueCount="729">
  <si>
    <t>(参考)</t>
    <rPh sb="1" eb="3">
      <t>サンコウ</t>
    </rPh>
    <phoneticPr fontId="1"/>
  </si>
  <si>
    <t>符号</t>
    <rPh sb="0" eb="2">
      <t>フゴウ</t>
    </rPh>
    <phoneticPr fontId="1"/>
  </si>
  <si>
    <t>サイズ [bit]</t>
    <phoneticPr fontId="1"/>
  </si>
  <si>
    <t>最小値</t>
    <rPh sb="0" eb="3">
      <t>サイショウチ</t>
    </rPh>
    <phoneticPr fontId="1"/>
  </si>
  <si>
    <t>最大値</t>
    <rPh sb="0" eb="3">
      <t>サイダイチ</t>
    </rPh>
    <phoneticPr fontId="1"/>
  </si>
  <si>
    <r>
      <t>U</t>
    </r>
    <r>
      <rPr>
        <sz val="11"/>
        <rFont val="ＭＳ Ｐゴシック"/>
        <family val="3"/>
        <charset val="128"/>
      </rPr>
      <t>C</t>
    </r>
    <phoneticPr fontId="1"/>
  </si>
  <si>
    <t>unisnged char</t>
    <phoneticPr fontId="1"/>
  </si>
  <si>
    <t>なし</t>
    <phoneticPr fontId="1"/>
  </si>
  <si>
    <r>
      <t>S</t>
    </r>
    <r>
      <rPr>
        <sz val="11"/>
        <rFont val="ＭＳ Ｐゴシック"/>
        <family val="3"/>
        <charset val="128"/>
      </rPr>
      <t>C</t>
    </r>
    <phoneticPr fontId="1"/>
  </si>
  <si>
    <t>signed short</t>
    <phoneticPr fontId="1"/>
  </si>
  <si>
    <t>あり</t>
    <phoneticPr fontId="1"/>
  </si>
  <si>
    <r>
      <t>U</t>
    </r>
    <r>
      <rPr>
        <sz val="11"/>
        <rFont val="ＭＳ Ｐゴシック"/>
        <family val="3"/>
        <charset val="128"/>
      </rPr>
      <t>S</t>
    </r>
    <phoneticPr fontId="1"/>
  </si>
  <si>
    <t>unsigned short</t>
    <phoneticPr fontId="1"/>
  </si>
  <si>
    <t>SS</t>
    <phoneticPr fontId="1"/>
  </si>
  <si>
    <t>UL</t>
    <phoneticPr fontId="1"/>
  </si>
  <si>
    <t>unsigned long</t>
    <phoneticPr fontId="1"/>
  </si>
  <si>
    <t>SL</t>
    <phoneticPr fontId="1"/>
  </si>
  <si>
    <t>signed long</t>
    <phoneticPr fontId="1"/>
  </si>
  <si>
    <t>型チェックは最小の型になっているかを確認する。そのため、なんらかの理由で一段階大きい型を使っている場合もエラーとなってしまう。</t>
    <rPh sb="33" eb="35">
      <t>リユウ</t>
    </rPh>
    <rPh sb="36" eb="37">
      <t>イチ</t>
    </rPh>
    <rPh sb="37" eb="39">
      <t>ダンカイ</t>
    </rPh>
    <rPh sb="39" eb="40">
      <t>オオ</t>
    </rPh>
    <rPh sb="42" eb="43">
      <t>カタ</t>
    </rPh>
    <rPh sb="44" eb="45">
      <t>ツカ</t>
    </rPh>
    <rPh sb="49" eb="51">
      <t>バアイ</t>
    </rPh>
    <phoneticPr fontId="1"/>
  </si>
  <si>
    <t>改訂履歴</t>
    <rPh sb="0" eb="2">
      <t>カイテイ</t>
    </rPh>
    <rPh sb="2" eb="4">
      <t>リレキ</t>
    </rPh>
    <phoneticPr fontId="1"/>
  </si>
  <si>
    <t>改訂日</t>
    <rPh sb="0" eb="2">
      <t>カイテイ</t>
    </rPh>
    <rPh sb="2" eb="3">
      <t>ビ</t>
    </rPh>
    <phoneticPr fontId="1"/>
  </si>
  <si>
    <t>改訂内容</t>
    <rPh sb="0" eb="2">
      <t>カイテイ</t>
    </rPh>
    <rPh sb="2" eb="4">
      <t>ナイヨウ</t>
    </rPh>
    <phoneticPr fontId="1"/>
  </si>
  <si>
    <t>動作仕様書第１版に合わせて作成</t>
    <rPh sb="0" eb="2">
      <t>ドウサ</t>
    </rPh>
    <rPh sb="2" eb="5">
      <t>シヨウショ</t>
    </rPh>
    <rPh sb="5" eb="6">
      <t>ダイ</t>
    </rPh>
    <rPh sb="7" eb="8">
      <t>ハン</t>
    </rPh>
    <rPh sb="9" eb="10">
      <t>ア</t>
    </rPh>
    <rPh sb="13" eb="15">
      <t>サクセイ</t>
    </rPh>
    <phoneticPr fontId="1"/>
  </si>
  <si>
    <t>K版</t>
    <phoneticPr fontId="1"/>
  </si>
  <si>
    <t>K0</t>
    <phoneticPr fontId="1"/>
  </si>
  <si>
    <t>導入SW バージョン</t>
    <rPh sb="0" eb="2">
      <t>ドウニュウ</t>
    </rPh>
    <phoneticPr fontId="1"/>
  </si>
  <si>
    <t>Option Transport</t>
  </si>
  <si>
    <t>その場合は、型チェック無効欄に○を選択することで無効にできる。</t>
    <phoneticPr fontId="1"/>
  </si>
  <si>
    <t>仕向け値別初期値</t>
    <rPh sb="0" eb="2">
      <t>シム</t>
    </rPh>
    <rPh sb="3" eb="4">
      <t>チ</t>
    </rPh>
    <rPh sb="4" eb="5">
      <t>ベツ</t>
    </rPh>
    <rPh sb="5" eb="8">
      <t>ショキチ</t>
    </rPh>
    <phoneticPr fontId="1"/>
  </si>
  <si>
    <t>NVM List</t>
  </si>
  <si>
    <t>読み込み
可否</t>
    <rPh sb="0" eb="1">
      <t>ヨ</t>
    </rPh>
    <rPh sb="2" eb="3">
      <t>コ</t>
    </rPh>
    <phoneticPr fontId="1"/>
  </si>
  <si>
    <r>
      <rPr>
        <sz val="16"/>
        <rFont val="HG丸ｺﾞｼｯｸM-PRO"/>
        <family val="3"/>
        <charset val="128"/>
      </rPr>
      <t xml:space="preserve">Correspondence </t>
    </r>
    <r>
      <rPr>
        <sz val="16"/>
        <rFont val="Xerox Sans"/>
        <family val="3"/>
      </rPr>
      <t>SW Version</t>
    </r>
    <phoneticPr fontId="1"/>
  </si>
  <si>
    <t>2015/xx/yy</t>
    <phoneticPr fontId="3"/>
  </si>
  <si>
    <r>
      <rPr>
        <sz val="12"/>
        <rFont val="ＭＳ Ｐゴシック"/>
        <family val="3"/>
        <charset val="128"/>
      </rPr>
      <t>以下に</t>
    </r>
    <r>
      <rPr>
        <sz val="12"/>
        <rFont val="Xerox Sans"/>
        <family val="3"/>
      </rPr>
      <t>NVMData</t>
    </r>
    <r>
      <rPr>
        <sz val="12"/>
        <rFont val="ＭＳ Ｐゴシック"/>
        <family val="3"/>
        <charset val="128"/>
      </rPr>
      <t>のソースコード作成手順、注意事項、</t>
    </r>
    <r>
      <rPr>
        <sz val="12"/>
        <rFont val="Xerox Sans"/>
        <family val="3"/>
      </rPr>
      <t>NVM</t>
    </r>
    <r>
      <rPr>
        <sz val="12"/>
        <rFont val="ＭＳ Ｐゴシック"/>
        <family val="3"/>
        <charset val="128"/>
      </rPr>
      <t>再利用方法を示す。</t>
    </r>
    <rPh sb="0" eb="2">
      <t>イカ</t>
    </rPh>
    <rPh sb="17" eb="19">
      <t>サクセイ</t>
    </rPh>
    <rPh sb="19" eb="21">
      <t>テジュン</t>
    </rPh>
    <rPh sb="22" eb="24">
      <t>チュウイ</t>
    </rPh>
    <rPh sb="24" eb="26">
      <t>ジコウ</t>
    </rPh>
    <rPh sb="36" eb="37">
      <t>シメ</t>
    </rPh>
    <phoneticPr fontId="1"/>
  </si>
  <si>
    <r>
      <rPr>
        <sz val="12"/>
        <rFont val="ＭＳ Ｐゴシック"/>
        <family val="3"/>
        <charset val="128"/>
      </rPr>
      <t>■ソースコード作成手順</t>
    </r>
    <rPh sb="7" eb="9">
      <t>サクセイ</t>
    </rPh>
    <rPh sb="9" eb="11">
      <t>テジュン</t>
    </rPh>
    <phoneticPr fontId="1"/>
  </si>
  <si>
    <r>
      <rPr>
        <sz val="12"/>
        <rFont val="ＭＳ Ｐゴシック"/>
        <family val="3"/>
        <charset val="128"/>
      </rPr>
      <t>①リスト編集</t>
    </r>
    <rPh sb="4" eb="6">
      <t>ヘンシュウ</t>
    </rPh>
    <phoneticPr fontId="1"/>
  </si>
  <si>
    <r>
      <t>"Chain No."</t>
    </r>
    <r>
      <rPr>
        <sz val="11"/>
        <rFont val="ＭＳ Ｐゴシック"/>
        <family val="3"/>
        <charset val="128"/>
      </rPr>
      <t>～</t>
    </r>
    <r>
      <rPr>
        <sz val="11"/>
        <rFont val="Xerox Sans"/>
        <family val="3"/>
      </rPr>
      <t>"</t>
    </r>
    <r>
      <rPr>
        <sz val="11"/>
        <rFont val="ＭＳ Ｐゴシック"/>
        <family val="3"/>
        <charset val="128"/>
      </rPr>
      <t>自動初期化</t>
    </r>
    <r>
      <rPr>
        <sz val="11"/>
        <rFont val="Xerox Sans"/>
        <family val="3"/>
      </rPr>
      <t xml:space="preserve"> Ver"</t>
    </r>
    <r>
      <rPr>
        <sz val="11"/>
        <rFont val="ＭＳ Ｐゴシック"/>
        <family val="3"/>
        <charset val="128"/>
      </rPr>
      <t>までの項目を入力する。</t>
    </r>
    <rPh sb="13" eb="15">
      <t>ジドウ</t>
    </rPh>
    <rPh sb="15" eb="18">
      <t>ショキカ</t>
    </rPh>
    <rPh sb="26" eb="28">
      <t>コウモク</t>
    </rPh>
    <rPh sb="29" eb="31">
      <t>ニュウリョク</t>
    </rPh>
    <phoneticPr fontId="1"/>
  </si>
  <si>
    <r>
      <rPr>
        <sz val="11"/>
        <rFont val="ＭＳ Ｐゴシック"/>
        <family val="3"/>
        <charset val="128"/>
      </rPr>
      <t>※各項目の記載方法・ルールは・・・・参照。</t>
    </r>
    <phoneticPr fontId="1"/>
  </si>
  <si>
    <t>②型情報自動入力</t>
    <rPh sb="1" eb="4">
      <t>カタジョウホウ</t>
    </rPh>
    <rPh sb="4" eb="8">
      <t>ジドウニュウリョク</t>
    </rPh>
    <phoneticPr fontId="1"/>
  </si>
  <si>
    <t>型情報が空欄となっているものに対して最小値・最大値よりサイズを設定する。</t>
    <rPh sb="0" eb="3">
      <t>カタジョウホウ</t>
    </rPh>
    <rPh sb="4" eb="6">
      <t>クウラン</t>
    </rPh>
    <rPh sb="15" eb="16">
      <t>タイ</t>
    </rPh>
    <rPh sb="18" eb="21">
      <t>サイショウチ</t>
    </rPh>
    <rPh sb="22" eb="25">
      <t>サイダイチ</t>
    </rPh>
    <rPh sb="31" eb="33">
      <t>セッテイ</t>
    </rPh>
    <phoneticPr fontId="1"/>
  </si>
  <si>
    <r>
      <rPr>
        <sz val="11"/>
        <rFont val="ＭＳ Ｐゴシック"/>
        <family val="3"/>
        <charset val="128"/>
      </rPr>
      <t>ソースコード生成</t>
    </r>
    <r>
      <rPr>
        <sz val="11"/>
        <rFont val="Xerox Sans"/>
        <family val="3"/>
      </rPr>
      <t>"</t>
    </r>
    <r>
      <rPr>
        <sz val="11"/>
        <rFont val="ＭＳ Ｐゴシック"/>
        <family val="3"/>
        <charset val="128"/>
      </rPr>
      <t>ボタンを押下し、ソースコードを出力する。この時</t>
    </r>
    <r>
      <rPr>
        <sz val="11"/>
        <rFont val="Xerox Sans"/>
        <family val="3"/>
      </rPr>
      <t>"NVM</t>
    </r>
    <r>
      <rPr>
        <sz val="11"/>
        <rFont val="ＭＳ Ｐゴシック"/>
        <family val="3"/>
        <charset val="128"/>
      </rPr>
      <t>使用領域</t>
    </r>
    <r>
      <rPr>
        <sz val="11"/>
        <rFont val="Xerox Sans"/>
        <family val="3"/>
      </rPr>
      <t>"</t>
    </r>
    <r>
      <rPr>
        <sz val="11"/>
        <rFont val="ＭＳ Ｐゴシック"/>
        <family val="3"/>
        <charset val="128"/>
      </rPr>
      <t>が</t>
    </r>
    <r>
      <rPr>
        <sz val="11"/>
        <rFont val="Xerox Sans"/>
        <family val="3"/>
      </rPr>
      <t>"NVM</t>
    </r>
    <r>
      <rPr>
        <sz val="11"/>
        <rFont val="ＭＳ Ｐゴシック"/>
        <family val="3"/>
        <charset val="128"/>
      </rPr>
      <t>最大領域</t>
    </r>
    <r>
      <rPr>
        <sz val="11"/>
        <rFont val="Xerox Sans"/>
        <family val="3"/>
      </rPr>
      <t>"</t>
    </r>
    <r>
      <rPr>
        <sz val="11"/>
        <rFont val="ＭＳ Ｐゴシック"/>
        <family val="3"/>
        <charset val="128"/>
      </rPr>
      <t>以下であることを確認する。</t>
    </r>
    <rPh sb="6" eb="8">
      <t>セイセイ</t>
    </rPh>
    <rPh sb="13" eb="14">
      <t>オ</t>
    </rPh>
    <rPh sb="14" eb="15">
      <t>シタ</t>
    </rPh>
    <rPh sb="24" eb="26">
      <t>シュツリョク</t>
    </rPh>
    <phoneticPr fontId="1"/>
  </si>
  <si>
    <r>
      <rPr>
        <sz val="11"/>
        <rFont val="ＭＳ Ｐゴシック"/>
        <family val="3"/>
        <charset val="128"/>
      </rPr>
      <t>※削除済みの</t>
    </r>
    <r>
      <rPr>
        <sz val="11"/>
        <rFont val="Xerox Sans"/>
        <family val="3"/>
      </rPr>
      <t>NVM</t>
    </r>
    <r>
      <rPr>
        <sz val="11"/>
        <rFont val="ＭＳ Ｐゴシック"/>
        <family val="3"/>
        <charset val="128"/>
      </rPr>
      <t>を含めてインスタンスを生成する</t>
    </r>
    <r>
      <rPr>
        <sz val="11"/>
        <rFont val="Xerox Sans"/>
        <family val="3"/>
      </rPr>
      <t>(RAM</t>
    </r>
    <r>
      <rPr>
        <sz val="11"/>
        <rFont val="ＭＳ Ｐゴシック"/>
        <family val="3"/>
        <charset val="128"/>
      </rPr>
      <t>に余裕がある時用</t>
    </r>
    <r>
      <rPr>
        <sz val="11"/>
        <rFont val="Xerox Sans"/>
        <family val="3"/>
      </rPr>
      <t>)</t>
    </r>
    <rPh sb="1" eb="4">
      <t>サクジョズ</t>
    </rPh>
    <rPh sb="10" eb="11">
      <t>フク</t>
    </rPh>
    <rPh sb="20" eb="22">
      <t>セイセイ</t>
    </rPh>
    <rPh sb="29" eb="31">
      <t>ヨユウ</t>
    </rPh>
    <rPh sb="34" eb="35">
      <t>トキ</t>
    </rPh>
    <rPh sb="35" eb="36">
      <t>ヨウ</t>
    </rPh>
    <phoneticPr fontId="1"/>
  </si>
  <si>
    <r>
      <rPr>
        <sz val="11"/>
        <rFont val="ＭＳ Ｐゴシック"/>
        <family val="3"/>
        <charset val="128"/>
      </rPr>
      <t>領域</t>
    </r>
    <rPh sb="0" eb="2">
      <t>リョウイキ</t>
    </rPh>
    <phoneticPr fontId="1"/>
  </si>
  <si>
    <t>NVM</t>
    <phoneticPr fontId="1"/>
  </si>
  <si>
    <r>
      <rPr>
        <sz val="11"/>
        <rFont val="ＭＳ Ｐゴシック"/>
        <family val="3"/>
        <charset val="128"/>
      </rPr>
      <t>全</t>
    </r>
    <r>
      <rPr>
        <sz val="11"/>
        <rFont val="Xerox Sans"/>
        <family val="3"/>
      </rPr>
      <t>NVM</t>
    </r>
    <r>
      <rPr>
        <sz val="11"/>
        <rFont val="ＭＳ Ｐゴシック"/>
        <family val="3"/>
        <charset val="128"/>
      </rPr>
      <t>サイズ</t>
    </r>
    <rPh sb="0" eb="1">
      <t>ゼン</t>
    </rPh>
    <phoneticPr fontId="1"/>
  </si>
  <si>
    <r>
      <t>NVM</t>
    </r>
    <r>
      <rPr>
        <sz val="11"/>
        <rFont val="ＭＳ Ｐゴシック"/>
        <family val="3"/>
        <charset val="128"/>
      </rPr>
      <t>使用領域</t>
    </r>
    <rPh sb="3" eb="5">
      <t>シヨウ</t>
    </rPh>
    <rPh sb="5" eb="7">
      <t>リョウイキ</t>
    </rPh>
    <phoneticPr fontId="1"/>
  </si>
  <si>
    <r>
      <rPr>
        <sz val="11"/>
        <rFont val="ＭＳ Ｐゴシック"/>
        <family val="3"/>
        <charset val="128"/>
      </rPr>
      <t>※全</t>
    </r>
    <r>
      <rPr>
        <sz val="11"/>
        <rFont val="Xerox Sans"/>
        <family val="3"/>
      </rPr>
      <t>NVM</t>
    </r>
    <r>
      <rPr>
        <sz val="11"/>
        <rFont val="ＭＳ Ｐゴシック"/>
        <family val="3"/>
        <charset val="128"/>
      </rPr>
      <t>サイズに加えて</t>
    </r>
    <r>
      <rPr>
        <sz val="11"/>
        <rFont val="Xerox Sans"/>
        <family val="3"/>
      </rPr>
      <t>32</t>
    </r>
    <r>
      <rPr>
        <sz val="11"/>
        <rFont val="ＭＳ Ｐゴシック"/>
        <family val="3"/>
        <charset val="128"/>
      </rPr>
      <t>バイトのアラインを考慮</t>
    </r>
    <rPh sb="1" eb="2">
      <t>ゼン</t>
    </rPh>
    <rPh sb="9" eb="10">
      <t>クワ</t>
    </rPh>
    <rPh sb="23" eb="25">
      <t>コウリョ</t>
    </rPh>
    <phoneticPr fontId="1"/>
  </si>
  <si>
    <r>
      <t>NVM</t>
    </r>
    <r>
      <rPr>
        <sz val="11"/>
        <rFont val="ＭＳ Ｐゴシック"/>
        <family val="3"/>
        <charset val="128"/>
      </rPr>
      <t>最大領域</t>
    </r>
    <rPh sb="5" eb="7">
      <t>リョウイキ</t>
    </rPh>
    <phoneticPr fontId="1"/>
  </si>
  <si>
    <r>
      <rPr>
        <sz val="11"/>
        <rFont val="ＭＳ Ｐゴシック"/>
        <family val="3"/>
        <charset val="128"/>
      </rPr>
      <t>必要に応じて</t>
    </r>
    <r>
      <rPr>
        <sz val="11"/>
        <rFont val="Xerox Sans"/>
        <family val="3"/>
      </rPr>
      <t>IOT Simulator</t>
    </r>
    <r>
      <rPr>
        <sz val="11"/>
        <rFont val="ＭＳ Ｐゴシック"/>
        <family val="3"/>
        <charset val="128"/>
      </rPr>
      <t>用</t>
    </r>
    <r>
      <rPr>
        <sz val="11"/>
        <rFont val="Xerox Sans"/>
        <family val="3"/>
      </rPr>
      <t>CSV</t>
    </r>
    <r>
      <rPr>
        <sz val="11"/>
        <rFont val="ＭＳ Ｐゴシック"/>
        <family val="3"/>
        <charset val="128"/>
      </rPr>
      <t>ファイルを生成する。</t>
    </r>
    <rPh sb="0" eb="2">
      <t>ヒツヨウ</t>
    </rPh>
    <rPh sb="3" eb="4">
      <t>オウ</t>
    </rPh>
    <phoneticPr fontId="1"/>
  </si>
  <si>
    <r>
      <rPr>
        <sz val="12"/>
        <rFont val="ＭＳ Ｐゴシック"/>
        <family val="3"/>
        <charset val="128"/>
      </rPr>
      <t>■注意事項</t>
    </r>
    <rPh sb="1" eb="3">
      <t>チュウイ</t>
    </rPh>
    <rPh sb="3" eb="5">
      <t>ジコウ</t>
    </rPh>
    <phoneticPr fontId="1"/>
  </si>
  <si>
    <r>
      <rPr>
        <sz val="11"/>
        <rFont val="ＭＳ Ｐゴシック"/>
        <family val="3"/>
        <charset val="128"/>
      </rPr>
      <t>・</t>
    </r>
    <r>
      <rPr>
        <sz val="11"/>
        <rFont val="Xerox Sans"/>
        <family val="3"/>
      </rPr>
      <t>NVM</t>
    </r>
    <r>
      <rPr>
        <sz val="11"/>
        <rFont val="ＭＳ Ｐゴシック"/>
        <family val="3"/>
        <charset val="128"/>
      </rPr>
      <t>リストのシート名が</t>
    </r>
    <r>
      <rPr>
        <sz val="11"/>
        <rFont val="Xerox Sans"/>
        <family val="3"/>
      </rPr>
      <t>"</t>
    </r>
    <r>
      <rPr>
        <sz val="11"/>
        <rFont val="ＭＳ Ｐゴシック"/>
        <family val="3"/>
        <charset val="128"/>
      </rPr>
      <t>リスト</t>
    </r>
    <r>
      <rPr>
        <sz val="11"/>
        <rFont val="Xerox Sans"/>
        <family val="3"/>
      </rPr>
      <t>"</t>
    </r>
    <r>
      <rPr>
        <sz val="11"/>
        <rFont val="ＭＳ Ｐゴシック"/>
        <family val="3"/>
        <charset val="128"/>
      </rPr>
      <t>、本シートのシート名が</t>
    </r>
    <r>
      <rPr>
        <sz val="11"/>
        <rFont val="Xerox Sans"/>
        <family val="3"/>
      </rPr>
      <t>"</t>
    </r>
    <r>
      <rPr>
        <sz val="11"/>
        <rFont val="ＭＳ Ｐゴシック"/>
        <family val="3"/>
        <charset val="128"/>
      </rPr>
      <t>ソース生成</t>
    </r>
    <r>
      <rPr>
        <sz val="11"/>
        <rFont val="Xerox Sans"/>
        <family val="3"/>
      </rPr>
      <t>"</t>
    </r>
    <r>
      <rPr>
        <sz val="11"/>
        <rFont val="ＭＳ Ｐゴシック"/>
        <family val="3"/>
        <charset val="128"/>
      </rPr>
      <t>である必要がある。</t>
    </r>
    <r>
      <rPr>
        <sz val="11"/>
        <rFont val="Xerox Sans"/>
        <family val="3"/>
      </rPr>
      <t>VBA</t>
    </r>
    <r>
      <rPr>
        <sz val="11"/>
        <rFont val="ＭＳ Ｐゴシック"/>
        <family val="3"/>
        <charset val="128"/>
      </rPr>
      <t>内の定数を変えることで変更可能。</t>
    </r>
    <phoneticPr fontId="1"/>
  </si>
  <si>
    <r>
      <rPr>
        <sz val="11"/>
        <rFont val="ＭＳ Ｐゴシック"/>
        <family val="3"/>
        <charset val="128"/>
      </rPr>
      <t>・初回のみ、先頭の</t>
    </r>
    <r>
      <rPr>
        <sz val="11"/>
        <rFont val="Xerox Sans"/>
        <family val="3"/>
      </rPr>
      <t>NVM</t>
    </r>
    <r>
      <rPr>
        <sz val="11"/>
        <rFont val="ＭＳ Ｐゴシック"/>
        <family val="3"/>
        <charset val="128"/>
      </rPr>
      <t>の</t>
    </r>
    <r>
      <rPr>
        <sz val="11"/>
        <rFont val="Xerox Sans"/>
        <family val="3"/>
      </rPr>
      <t>"Ram Address"</t>
    </r>
    <r>
      <rPr>
        <sz val="11"/>
        <rFont val="ＭＳ Ｐゴシック"/>
        <family val="3"/>
        <charset val="128"/>
      </rPr>
      <t>・</t>
    </r>
    <r>
      <rPr>
        <sz val="11"/>
        <rFont val="Xerox Sans"/>
        <family val="3"/>
      </rPr>
      <t>"DC361</t>
    </r>
    <r>
      <rPr>
        <sz val="11"/>
        <rFont val="ＭＳ Ｐゴシック"/>
        <family val="3"/>
        <charset val="128"/>
      </rPr>
      <t>用</t>
    </r>
    <r>
      <rPr>
        <sz val="11"/>
        <rFont val="Xerox Sans"/>
        <family val="3"/>
      </rPr>
      <t xml:space="preserve"> Address"</t>
    </r>
    <r>
      <rPr>
        <sz val="11"/>
        <rFont val="ＭＳ Ｐゴシック"/>
        <family val="3"/>
        <charset val="128"/>
      </rPr>
      <t>に</t>
    </r>
    <r>
      <rPr>
        <sz val="11"/>
        <rFont val="Xerox Sans"/>
        <family val="3"/>
      </rPr>
      <t>0</t>
    </r>
    <r>
      <rPr>
        <sz val="11"/>
        <rFont val="ＭＳ Ｐゴシック"/>
        <family val="3"/>
        <charset val="128"/>
      </rPr>
      <t>を入力すること。</t>
    </r>
    <phoneticPr fontId="1"/>
  </si>
  <si>
    <r>
      <rPr>
        <sz val="11"/>
        <rFont val="ＭＳ Ｐゴシック"/>
        <family val="3"/>
        <charset val="128"/>
      </rPr>
      <t>・変数名規則</t>
    </r>
    <rPh sb="1" eb="4">
      <t>ヘンスウメイ</t>
    </rPh>
    <rPh sb="4" eb="6">
      <t>キソク</t>
    </rPh>
    <phoneticPr fontId="1"/>
  </si>
  <si>
    <r>
      <t>"NVMID_"</t>
    </r>
    <r>
      <rPr>
        <sz val="11"/>
        <rFont val="ＭＳ Ｐゴシック"/>
        <family val="3"/>
        <charset val="128"/>
      </rPr>
      <t>から始まること</t>
    </r>
    <rPh sb="10" eb="11">
      <t>ハジ</t>
    </rPh>
    <phoneticPr fontId="1"/>
  </si>
  <si>
    <r>
      <rPr>
        <sz val="11"/>
        <rFont val="ＭＳ Ｐゴシック"/>
        <family val="3"/>
        <charset val="128"/>
      </rPr>
      <t>半角アルファベット大文字、アンダーバーのみ使用すること</t>
    </r>
    <rPh sb="0" eb="2">
      <t>ハンカク</t>
    </rPh>
    <rPh sb="9" eb="12">
      <t>オオモジ</t>
    </rPh>
    <rPh sb="21" eb="23">
      <t>シヨウ</t>
    </rPh>
    <phoneticPr fontId="1"/>
  </si>
  <si>
    <r>
      <rPr>
        <sz val="11"/>
        <rFont val="ＭＳ Ｐゴシック"/>
        <family val="3"/>
        <charset val="128"/>
      </rPr>
      <t>スペースは含まないこと</t>
    </r>
    <rPh sb="5" eb="6">
      <t>フク</t>
    </rPh>
    <phoneticPr fontId="1"/>
  </si>
  <si>
    <r>
      <rPr>
        <sz val="11"/>
        <rFont val="ＭＳ Ｐゴシック"/>
        <family val="3"/>
        <charset val="128"/>
      </rPr>
      <t>アンダーバーは二つ以上続けないこと</t>
    </r>
    <rPh sb="7" eb="8">
      <t>フタ</t>
    </rPh>
    <rPh sb="9" eb="11">
      <t>イジョウ</t>
    </rPh>
    <rPh sb="11" eb="12">
      <t>ツズ</t>
    </rPh>
    <phoneticPr fontId="1"/>
  </si>
  <si>
    <r>
      <rPr>
        <sz val="11"/>
        <rFont val="ＭＳ Ｐゴシック"/>
        <family val="3"/>
        <charset val="128"/>
      </rPr>
      <t>・</t>
    </r>
    <r>
      <rPr>
        <sz val="11"/>
        <rFont val="Xerox Sans"/>
        <family val="3"/>
      </rPr>
      <t>NVM</t>
    </r>
    <r>
      <rPr>
        <sz val="11"/>
        <rFont val="ＭＳ Ｐゴシック"/>
        <family val="3"/>
        <charset val="128"/>
      </rPr>
      <t>追加方法</t>
    </r>
    <rPh sb="4" eb="8">
      <t>ツイカホウホウ</t>
    </rPh>
    <phoneticPr fontId="1"/>
  </si>
  <si>
    <r>
      <t>NVM</t>
    </r>
    <r>
      <rPr>
        <sz val="11"/>
        <rFont val="ＭＳ Ｐゴシック"/>
        <family val="3"/>
        <charset val="128"/>
      </rPr>
      <t>の変更があるリリースにおいては、必ず自動イニシャライズの対象となるように</t>
    </r>
    <r>
      <rPr>
        <sz val="11"/>
        <rFont val="Xerox Sans"/>
        <family val="3"/>
      </rPr>
      <t>"</t>
    </r>
    <r>
      <rPr>
        <sz val="11"/>
        <rFont val="ＭＳ Ｐゴシック"/>
        <family val="3"/>
        <charset val="128"/>
      </rPr>
      <t>自動初期化</t>
    </r>
    <r>
      <rPr>
        <sz val="11"/>
        <rFont val="Xerox Sans"/>
        <family val="3"/>
      </rPr>
      <t xml:space="preserve"> Ver"</t>
    </r>
    <r>
      <rPr>
        <sz val="11"/>
        <rFont val="ＭＳ Ｐゴシック"/>
        <family val="3"/>
        <charset val="128"/>
      </rPr>
      <t>を上げること。</t>
    </r>
    <rPh sb="4" eb="6">
      <t>ヘンコウ</t>
    </rPh>
    <rPh sb="19" eb="20">
      <t>カナラ</t>
    </rPh>
    <rPh sb="21" eb="23">
      <t>ジドウ</t>
    </rPh>
    <rPh sb="31" eb="33">
      <t>タイショウ</t>
    </rPh>
    <rPh sb="51" eb="52">
      <t>ア</t>
    </rPh>
    <phoneticPr fontId="1"/>
  </si>
  <si>
    <r>
      <rPr>
        <sz val="11"/>
        <rFont val="ＭＳ Ｐゴシック"/>
        <family val="3"/>
        <charset val="128"/>
      </rPr>
      <t>既にある</t>
    </r>
    <r>
      <rPr>
        <sz val="11"/>
        <rFont val="Xerox Sans"/>
        <family val="3"/>
      </rPr>
      <t>NVM</t>
    </r>
    <r>
      <rPr>
        <sz val="11"/>
        <rFont val="ＭＳ Ｐゴシック"/>
        <family val="3"/>
        <charset val="128"/>
      </rPr>
      <t>をコピーして</t>
    </r>
    <r>
      <rPr>
        <sz val="11"/>
        <rFont val="Xerox Sans"/>
        <family val="3"/>
      </rPr>
      <t xml:space="preserve"> </t>
    </r>
    <r>
      <rPr>
        <sz val="11"/>
        <rFont val="ＭＳ Ｐゴシック"/>
        <family val="3"/>
        <charset val="128"/>
      </rPr>
      <t>挿入する場合は、追加した</t>
    </r>
    <r>
      <rPr>
        <sz val="11"/>
        <rFont val="Xerox Sans"/>
        <family val="3"/>
      </rPr>
      <t>NVM</t>
    </r>
    <r>
      <rPr>
        <sz val="11"/>
        <rFont val="ＭＳ Ｐゴシック"/>
        <family val="3"/>
        <charset val="128"/>
      </rPr>
      <t>の</t>
    </r>
    <r>
      <rPr>
        <sz val="11"/>
        <rFont val="Xerox Sans"/>
        <family val="3"/>
      </rPr>
      <t>"RAM Address"</t>
    </r>
    <r>
      <rPr>
        <sz val="11"/>
        <rFont val="ＭＳ Ｐゴシック"/>
        <family val="3"/>
        <charset val="128"/>
      </rPr>
      <t>欄が空白であることを確認すること</t>
    </r>
    <rPh sb="0" eb="1">
      <t>スデ</t>
    </rPh>
    <rPh sb="14" eb="16">
      <t>ソウニュウ</t>
    </rPh>
    <rPh sb="18" eb="20">
      <t>バアイ</t>
    </rPh>
    <rPh sb="22" eb="24">
      <t>ツイカ</t>
    </rPh>
    <rPh sb="43" eb="44">
      <t>ラン</t>
    </rPh>
    <rPh sb="45" eb="47">
      <t>クウハク</t>
    </rPh>
    <rPh sb="53" eb="55">
      <t>カクニン</t>
    </rPh>
    <phoneticPr fontId="1"/>
  </si>
  <si>
    <r>
      <rPr>
        <sz val="11"/>
        <rFont val="ＭＳ Ｐゴシック"/>
        <family val="3"/>
        <charset val="128"/>
      </rPr>
      <t>・</t>
    </r>
    <r>
      <rPr>
        <sz val="11"/>
        <rFont val="Xerox Sans"/>
        <family val="3"/>
      </rPr>
      <t>NVM</t>
    </r>
    <r>
      <rPr>
        <sz val="11"/>
        <rFont val="ＭＳ Ｐゴシック"/>
        <family val="3"/>
        <charset val="128"/>
      </rPr>
      <t>削除方法</t>
    </r>
    <rPh sb="4" eb="8">
      <t>サクジョホウホウ</t>
    </rPh>
    <phoneticPr fontId="1"/>
  </si>
  <si>
    <r>
      <rPr>
        <sz val="11"/>
        <rFont val="ＭＳ Ｐゴシック"/>
        <family val="3"/>
        <charset val="128"/>
      </rPr>
      <t>削除フラグに○をつける。リリースされた後の</t>
    </r>
    <r>
      <rPr>
        <sz val="11"/>
        <rFont val="Xerox Sans"/>
        <family val="3"/>
      </rPr>
      <t>NVM</t>
    </r>
    <r>
      <rPr>
        <sz val="11"/>
        <rFont val="ＭＳ Ｐゴシック"/>
        <family val="3"/>
        <charset val="128"/>
      </rPr>
      <t>の行は消去しないこと。</t>
    </r>
    <rPh sb="0" eb="2">
      <t>サクジョ</t>
    </rPh>
    <phoneticPr fontId="1"/>
  </si>
  <si>
    <r>
      <t>NVM</t>
    </r>
    <r>
      <rPr>
        <sz val="11"/>
        <rFont val="ＭＳ Ｐゴシック"/>
        <family val="3"/>
        <charset val="128"/>
      </rPr>
      <t>を削除した場合、</t>
    </r>
    <r>
      <rPr>
        <sz val="11"/>
        <rFont val="Xerox Sans"/>
        <family val="3"/>
      </rPr>
      <t>Chain Link</t>
    </r>
    <r>
      <rPr>
        <sz val="11"/>
        <rFont val="ＭＳ Ｐゴシック"/>
        <family val="3"/>
        <charset val="128"/>
      </rPr>
      <t>によるアクセスが不可能となるが、初期値や値などのデータは消去されない。</t>
    </r>
    <rPh sb="4" eb="6">
      <t>サクジョ</t>
    </rPh>
    <rPh sb="8" eb="10">
      <t>バアイ</t>
    </rPh>
    <rPh sb="29" eb="32">
      <t>フカノウ</t>
    </rPh>
    <phoneticPr fontId="1"/>
  </si>
  <si>
    <r>
      <rPr>
        <sz val="11"/>
        <rFont val="ＭＳ Ｐゴシック"/>
        <family val="3"/>
        <charset val="128"/>
      </rPr>
      <t>・</t>
    </r>
    <r>
      <rPr>
        <sz val="11"/>
        <rFont val="Xerox Sans"/>
        <family val="3"/>
      </rPr>
      <t>Link</t>
    </r>
    <r>
      <rPr>
        <sz val="11"/>
        <rFont val="ＭＳ Ｐゴシック"/>
        <family val="3"/>
        <charset val="128"/>
      </rPr>
      <t>割り振りルール</t>
    </r>
    <rPh sb="5" eb="6">
      <t>ワ</t>
    </rPh>
    <rPh sb="7" eb="8">
      <t>フ</t>
    </rPh>
    <phoneticPr fontId="1"/>
  </si>
  <si>
    <r>
      <rPr>
        <sz val="11"/>
        <rFont val="ＭＳ Ｐゴシック"/>
        <family val="3"/>
        <charset val="128"/>
      </rPr>
      <t>新規</t>
    </r>
    <r>
      <rPr>
        <sz val="11"/>
        <rFont val="Xerox Sans"/>
        <family val="3"/>
      </rPr>
      <t>NVM</t>
    </r>
    <r>
      <rPr>
        <sz val="11"/>
        <rFont val="ＭＳ Ｐゴシック"/>
        <family val="3"/>
        <charset val="128"/>
      </rPr>
      <t>に割り振る</t>
    </r>
    <r>
      <rPr>
        <sz val="11"/>
        <rFont val="Xerox Sans"/>
        <family val="3"/>
      </rPr>
      <t>Link</t>
    </r>
    <r>
      <rPr>
        <sz val="11"/>
        <rFont val="ＭＳ Ｐゴシック"/>
        <family val="3"/>
        <charset val="128"/>
      </rPr>
      <t>番号は基本的に右表の部品名に合わせて決定すること。</t>
    </r>
    <rPh sb="21" eb="23">
      <t>ミギヒョウ</t>
    </rPh>
    <rPh sb="24" eb="27">
      <t>ブヒンメイ</t>
    </rPh>
    <rPh sb="28" eb="29">
      <t>ア</t>
    </rPh>
    <rPh sb="32" eb="34">
      <t>ケッテイ</t>
    </rPh>
    <phoneticPr fontId="1"/>
  </si>
  <si>
    <r>
      <rPr>
        <sz val="11"/>
        <rFont val="ＭＳ Ｐゴシック"/>
        <family val="3"/>
        <charset val="128"/>
      </rPr>
      <t>部品名</t>
    </r>
    <rPh sb="0" eb="3">
      <t>ブヒンメイ</t>
    </rPh>
    <phoneticPr fontId="1"/>
  </si>
  <si>
    <r>
      <t>Link</t>
    </r>
    <r>
      <rPr>
        <sz val="11"/>
        <rFont val="ＭＳ Ｐゴシック"/>
        <family val="3"/>
        <charset val="128"/>
      </rPr>
      <t>範囲</t>
    </r>
    <rPh sb="4" eb="6">
      <t>ハンイ</t>
    </rPh>
    <phoneticPr fontId="7"/>
  </si>
  <si>
    <r>
      <rPr>
        <sz val="11"/>
        <rFont val="ＭＳ Ｐゴシック"/>
        <family val="3"/>
        <charset val="128"/>
      </rPr>
      <t>使用可能</t>
    </r>
    <r>
      <rPr>
        <sz val="11"/>
        <rFont val="Xerox Sans"/>
        <family val="3"/>
      </rPr>
      <t>Link</t>
    </r>
    <r>
      <rPr>
        <sz val="11"/>
        <rFont val="ＭＳ Ｐゴシック"/>
        <family val="3"/>
        <charset val="128"/>
      </rPr>
      <t>数</t>
    </r>
    <rPh sb="0" eb="2">
      <t>シヨウ</t>
    </rPh>
    <rPh sb="2" eb="4">
      <t>カノウ</t>
    </rPh>
    <rPh sb="8" eb="9">
      <t>スウ</t>
    </rPh>
    <phoneticPr fontId="1"/>
  </si>
  <si>
    <r>
      <rPr>
        <sz val="11"/>
        <rFont val="ＭＳ Ｐゴシック"/>
        <family val="3"/>
        <charset val="128"/>
      </rPr>
      <t>ただし、</t>
    </r>
    <r>
      <rPr>
        <sz val="11"/>
        <rFont val="Xerox Sans"/>
        <family val="3"/>
      </rPr>
      <t>ID</t>
    </r>
    <r>
      <rPr>
        <sz val="11"/>
        <rFont val="ＭＳ Ｐゴシック"/>
        <family val="3"/>
        <charset val="128"/>
      </rPr>
      <t>の不足や連続番号が必要になった場合などには柔軟に対応すること。</t>
    </r>
    <rPh sb="7" eb="9">
      <t>フソク</t>
    </rPh>
    <rPh sb="10" eb="12">
      <t>レンゾク</t>
    </rPh>
    <rPh sb="12" eb="14">
      <t>バンゴウ</t>
    </rPh>
    <rPh sb="15" eb="17">
      <t>ヒツヨウ</t>
    </rPh>
    <rPh sb="21" eb="23">
      <t>バアイ</t>
    </rPh>
    <rPh sb="27" eb="29">
      <t>ジュウナン</t>
    </rPh>
    <rPh sb="30" eb="32">
      <t>タイオウ</t>
    </rPh>
    <phoneticPr fontId="1"/>
  </si>
  <si>
    <t>System</t>
    <phoneticPr fontId="1"/>
  </si>
  <si>
    <r>
      <t>1</t>
    </r>
    <r>
      <rPr>
        <sz val="11"/>
        <rFont val="ＭＳ Ｐゴシック"/>
        <family val="3"/>
        <charset val="128"/>
      </rPr>
      <t>～</t>
    </r>
    <r>
      <rPr>
        <sz val="11"/>
        <rFont val="Xerox Sans"/>
        <family val="3"/>
      </rPr>
      <t>199</t>
    </r>
    <phoneticPr fontId="7"/>
  </si>
  <si>
    <t>Main Transport</t>
    <phoneticPr fontId="1"/>
  </si>
  <si>
    <r>
      <t>200</t>
    </r>
    <r>
      <rPr>
        <sz val="11"/>
        <rFont val="ＭＳ Ｐゴシック"/>
        <family val="3"/>
        <charset val="128"/>
      </rPr>
      <t>～</t>
    </r>
    <r>
      <rPr>
        <sz val="11"/>
        <rFont val="Xerox Sans"/>
        <family val="3"/>
      </rPr>
      <t>249</t>
    </r>
  </si>
  <si>
    <r>
      <t>250</t>
    </r>
    <r>
      <rPr>
        <sz val="11"/>
        <rFont val="ＭＳ Ｐゴシック"/>
        <family val="3"/>
        <charset val="128"/>
      </rPr>
      <t>～</t>
    </r>
    <r>
      <rPr>
        <sz val="11"/>
        <rFont val="Xerox Sans"/>
        <family val="3"/>
      </rPr>
      <t>299</t>
    </r>
  </si>
  <si>
    <t>Top</t>
    <phoneticPr fontId="1"/>
  </si>
  <si>
    <r>
      <t>300</t>
    </r>
    <r>
      <rPr>
        <sz val="11"/>
        <rFont val="ＭＳ Ｐゴシック"/>
        <family val="3"/>
        <charset val="128"/>
      </rPr>
      <t>～</t>
    </r>
    <r>
      <rPr>
        <sz val="11"/>
        <rFont val="Xerox Sans"/>
        <family val="3"/>
      </rPr>
      <t>349</t>
    </r>
  </si>
  <si>
    <t>Stacker</t>
    <phoneticPr fontId="1"/>
  </si>
  <si>
    <r>
      <t>350</t>
    </r>
    <r>
      <rPr>
        <sz val="11"/>
        <rFont val="ＭＳ Ｐゴシック"/>
        <family val="3"/>
        <charset val="128"/>
      </rPr>
      <t>～</t>
    </r>
    <r>
      <rPr>
        <sz val="11"/>
        <rFont val="Xerox Sans"/>
        <family val="3"/>
      </rPr>
      <t>399</t>
    </r>
  </si>
  <si>
    <t>Compiler</t>
    <phoneticPr fontId="1"/>
  </si>
  <si>
    <r>
      <t>400</t>
    </r>
    <r>
      <rPr>
        <sz val="11"/>
        <rFont val="ＭＳ Ｐゴシック"/>
        <family val="3"/>
        <charset val="128"/>
      </rPr>
      <t>～</t>
    </r>
    <r>
      <rPr>
        <sz val="11"/>
        <rFont val="Xerox Sans"/>
        <family val="3"/>
      </rPr>
      <t>499</t>
    </r>
  </si>
  <si>
    <r>
      <rPr>
        <sz val="11"/>
        <rFont val="ＭＳ Ｐゴシック"/>
        <family val="3"/>
        <charset val="128"/>
      </rPr>
      <t>予備</t>
    </r>
    <rPh sb="0" eb="2">
      <t>ヨビ</t>
    </rPh>
    <phoneticPr fontId="1"/>
  </si>
  <si>
    <r>
      <t>500</t>
    </r>
    <r>
      <rPr>
        <sz val="11"/>
        <rFont val="ＭＳ Ｐゴシック"/>
        <family val="3"/>
        <charset val="128"/>
      </rPr>
      <t>～</t>
    </r>
    <r>
      <rPr>
        <sz val="11"/>
        <rFont val="Xerox Sans"/>
        <family val="3"/>
      </rPr>
      <t>599</t>
    </r>
  </si>
  <si>
    <t>Punch</t>
    <phoneticPr fontId="1"/>
  </si>
  <si>
    <r>
      <t>600</t>
    </r>
    <r>
      <rPr>
        <sz val="11"/>
        <rFont val="ＭＳ Ｐゴシック"/>
        <family val="3"/>
        <charset val="128"/>
      </rPr>
      <t>～</t>
    </r>
    <r>
      <rPr>
        <sz val="11"/>
        <rFont val="Xerox Sans"/>
        <family val="3"/>
      </rPr>
      <t>649</t>
    </r>
  </si>
  <si>
    <t>MBX</t>
    <phoneticPr fontId="1"/>
  </si>
  <si>
    <r>
      <t>650</t>
    </r>
    <r>
      <rPr>
        <sz val="11"/>
        <rFont val="ＭＳ Ｐゴシック"/>
        <family val="3"/>
        <charset val="128"/>
      </rPr>
      <t>～</t>
    </r>
    <r>
      <rPr>
        <sz val="11"/>
        <rFont val="Xerox Sans"/>
        <family val="3"/>
      </rPr>
      <t>699</t>
    </r>
  </si>
  <si>
    <t>Folder</t>
    <phoneticPr fontId="1"/>
  </si>
  <si>
    <r>
      <t>700</t>
    </r>
    <r>
      <rPr>
        <sz val="11"/>
        <rFont val="ＭＳ Ｐゴシック"/>
        <family val="3"/>
        <charset val="128"/>
      </rPr>
      <t>～</t>
    </r>
    <r>
      <rPr>
        <sz val="11"/>
        <rFont val="Xerox Sans"/>
        <family val="3"/>
      </rPr>
      <t>799</t>
    </r>
  </si>
  <si>
    <t>Booklet</t>
    <phoneticPr fontId="1"/>
  </si>
  <si>
    <r>
      <t>800</t>
    </r>
    <r>
      <rPr>
        <sz val="11"/>
        <rFont val="ＭＳ Ｐゴシック"/>
        <family val="3"/>
        <charset val="128"/>
      </rPr>
      <t>～</t>
    </r>
    <r>
      <rPr>
        <sz val="11"/>
        <rFont val="Xerox Sans"/>
        <family val="3"/>
      </rPr>
      <t>899</t>
    </r>
  </si>
  <si>
    <t>Booklet Tray</t>
    <phoneticPr fontId="1"/>
  </si>
  <si>
    <r>
      <t>900</t>
    </r>
    <r>
      <rPr>
        <sz val="11"/>
        <rFont val="ＭＳ Ｐゴシック"/>
        <family val="3"/>
        <charset val="128"/>
      </rPr>
      <t>～</t>
    </r>
    <r>
      <rPr>
        <sz val="11"/>
        <rFont val="Xerox Sans"/>
        <family val="3"/>
      </rPr>
      <t>949</t>
    </r>
  </si>
  <si>
    <r>
      <t>950</t>
    </r>
    <r>
      <rPr>
        <sz val="11"/>
        <rFont val="ＭＳ Ｐゴシック"/>
        <family val="3"/>
        <charset val="128"/>
      </rPr>
      <t>～</t>
    </r>
    <r>
      <rPr>
        <sz val="11"/>
        <rFont val="Xerox Sans"/>
        <family val="3"/>
      </rPr>
      <t>999</t>
    </r>
  </si>
  <si>
    <r>
      <rPr>
        <sz val="11"/>
        <rFont val="ＭＳ Ｐゴシック"/>
        <family val="3"/>
        <charset val="128"/>
      </rPr>
      <t>■</t>
    </r>
    <r>
      <rPr>
        <sz val="11"/>
        <rFont val="Xerox Sans"/>
        <family val="3"/>
      </rPr>
      <t>NVM</t>
    </r>
    <r>
      <rPr>
        <sz val="11"/>
        <rFont val="ＭＳ Ｐゴシック"/>
        <family val="3"/>
        <charset val="128"/>
      </rPr>
      <t>再利用方法</t>
    </r>
    <rPh sb="4" eb="9">
      <t>サイリヨウホウホウ</t>
    </rPh>
    <phoneticPr fontId="1"/>
  </si>
  <si>
    <r>
      <rPr>
        <sz val="11"/>
        <rFont val="ＭＳ Ｐゴシック"/>
        <family val="3"/>
        <charset val="128"/>
      </rPr>
      <t>※</t>
    </r>
    <r>
      <rPr>
        <sz val="11"/>
        <rFont val="Xerox Sans"/>
        <family val="3"/>
      </rPr>
      <t xml:space="preserve"> </t>
    </r>
    <r>
      <rPr>
        <sz val="11"/>
        <rFont val="ＭＳ Ｐゴシック"/>
        <family val="3"/>
        <charset val="128"/>
      </rPr>
      <t>この方法を使った場合、</t>
    </r>
    <r>
      <rPr>
        <sz val="11"/>
        <rFont val="Xerox Sans"/>
        <family val="3"/>
      </rPr>
      <t>NVM</t>
    </r>
    <r>
      <rPr>
        <sz val="11"/>
        <rFont val="ＭＳ Ｐゴシック"/>
        <family val="3"/>
        <charset val="128"/>
      </rPr>
      <t>の互換性がなくなるため緊急時以外は使用しないこと</t>
    </r>
    <rPh sb="4" eb="6">
      <t>ホウホウ</t>
    </rPh>
    <rPh sb="7" eb="8">
      <t>ツカ</t>
    </rPh>
    <rPh sb="10" eb="12">
      <t>バアイ</t>
    </rPh>
    <rPh sb="17" eb="20">
      <t>ゴカンセイ</t>
    </rPh>
    <rPh sb="27" eb="32">
      <t>キンキュウジイガイ</t>
    </rPh>
    <rPh sb="33" eb="35">
      <t>シヨウ</t>
    </rPh>
    <phoneticPr fontId="1"/>
  </si>
  <si>
    <r>
      <rPr>
        <sz val="11"/>
        <rFont val="ＭＳ Ｐゴシック"/>
        <family val="3"/>
        <charset val="128"/>
      </rPr>
      <t>①</t>
    </r>
    <r>
      <rPr>
        <sz val="11"/>
        <rFont val="Xerox Sans"/>
        <family val="3"/>
      </rPr>
      <t xml:space="preserve"> </t>
    </r>
    <r>
      <rPr>
        <sz val="11"/>
        <rFont val="ＭＳ Ｐゴシック"/>
        <family val="3"/>
        <charset val="128"/>
      </rPr>
      <t>開発</t>
    </r>
    <r>
      <rPr>
        <sz val="11"/>
        <rFont val="Xerox Sans"/>
        <family val="3"/>
      </rPr>
      <t xml:space="preserve"> </t>
    </r>
    <r>
      <rPr>
        <sz val="11"/>
        <rFont val="ＭＳ Ｐゴシック"/>
        <family val="3"/>
        <charset val="128"/>
      </rPr>
      <t>→</t>
    </r>
    <r>
      <rPr>
        <sz val="11"/>
        <rFont val="Xerox Sans"/>
        <family val="3"/>
      </rPr>
      <t xml:space="preserve"> </t>
    </r>
    <r>
      <rPr>
        <sz val="11"/>
        <rFont val="ＭＳ Ｐゴシック"/>
        <family val="3"/>
        <charset val="128"/>
      </rPr>
      <t>マクロ</t>
    </r>
    <r>
      <rPr>
        <sz val="11"/>
        <rFont val="Xerox Sans"/>
        <family val="3"/>
      </rPr>
      <t xml:space="preserve"> </t>
    </r>
    <r>
      <rPr>
        <sz val="11"/>
        <rFont val="ＭＳ Ｐゴシック"/>
        <family val="3"/>
        <charset val="128"/>
      </rPr>
      <t>→</t>
    </r>
    <r>
      <rPr>
        <sz val="11"/>
        <rFont val="Xerox Sans"/>
        <family val="3"/>
      </rPr>
      <t xml:space="preserve"> CheckRamMap" </t>
    </r>
    <r>
      <rPr>
        <sz val="11"/>
        <rFont val="ＭＳ Ｐゴシック"/>
        <family val="3"/>
        <charset val="128"/>
      </rPr>
      <t>を実行し、</t>
    </r>
    <r>
      <rPr>
        <sz val="11"/>
        <rFont val="Xerox Sans"/>
        <family val="3"/>
      </rPr>
      <t>check.csv</t>
    </r>
    <r>
      <rPr>
        <sz val="11"/>
        <rFont val="ＭＳ Ｐゴシック"/>
        <family val="3"/>
        <charset val="128"/>
      </rPr>
      <t>を生成する</t>
    </r>
    <rPh sb="2" eb="4">
      <t>カイハツ</t>
    </rPh>
    <rPh sb="27" eb="29">
      <t>ジッコウ</t>
    </rPh>
    <rPh sb="41" eb="43">
      <t>セイセイ</t>
    </rPh>
    <phoneticPr fontId="1"/>
  </si>
  <si>
    <r>
      <rPr>
        <sz val="11"/>
        <rFont val="ＭＳ Ｐゴシック"/>
        <family val="3"/>
        <charset val="128"/>
      </rPr>
      <t>②</t>
    </r>
    <r>
      <rPr>
        <sz val="11"/>
        <rFont val="Xerox Sans"/>
        <family val="3"/>
      </rPr>
      <t>check.csv</t>
    </r>
    <r>
      <rPr>
        <sz val="11"/>
        <rFont val="ＭＳ Ｐゴシック"/>
        <family val="3"/>
        <charset val="128"/>
      </rPr>
      <t>を確認し、</t>
    </r>
    <r>
      <rPr>
        <sz val="11"/>
        <rFont val="Xerox Sans"/>
        <family val="3"/>
      </rPr>
      <t>"NVM</t>
    </r>
    <r>
      <rPr>
        <sz val="11"/>
        <rFont val="ＭＳ Ｐゴシック"/>
        <family val="3"/>
        <charset val="128"/>
      </rPr>
      <t>使用状況</t>
    </r>
    <r>
      <rPr>
        <sz val="11"/>
        <rFont val="Xerox Sans"/>
        <family val="3"/>
      </rPr>
      <t>"</t>
    </r>
    <r>
      <rPr>
        <sz val="11"/>
        <rFont val="ＭＳ Ｐゴシック"/>
        <family val="3"/>
        <charset val="128"/>
      </rPr>
      <t>が</t>
    </r>
    <r>
      <rPr>
        <sz val="11"/>
        <rFont val="Xerox Sans"/>
        <family val="3"/>
      </rPr>
      <t>"</t>
    </r>
    <r>
      <rPr>
        <sz val="11"/>
        <rFont val="ＭＳ Ｐゴシック"/>
        <family val="3"/>
        <charset val="128"/>
      </rPr>
      <t>削除済み</t>
    </r>
    <r>
      <rPr>
        <sz val="11"/>
        <rFont val="Xerox Sans"/>
        <family val="3"/>
      </rPr>
      <t>"</t>
    </r>
    <r>
      <rPr>
        <sz val="11"/>
        <rFont val="ＭＳ Ｐゴシック"/>
        <family val="3"/>
        <charset val="128"/>
      </rPr>
      <t>、かつ追加する型が</t>
    </r>
    <r>
      <rPr>
        <sz val="11"/>
        <rFont val="Xerox Sans"/>
        <family val="3"/>
      </rPr>
      <t>"</t>
    </r>
    <r>
      <rPr>
        <sz val="11"/>
        <rFont val="ＭＳ Ｐゴシック"/>
        <family val="3"/>
        <charset val="128"/>
      </rPr>
      <t>再利用可能型</t>
    </r>
    <r>
      <rPr>
        <sz val="11"/>
        <rFont val="Xerox Sans"/>
        <family val="3"/>
      </rPr>
      <t>"</t>
    </r>
    <r>
      <rPr>
        <sz val="11"/>
        <rFont val="ＭＳ Ｐゴシック"/>
        <family val="3"/>
        <charset val="128"/>
      </rPr>
      <t>に含まれている行を見つける</t>
    </r>
    <rPh sb="11" eb="13">
      <t>カクニン</t>
    </rPh>
    <rPh sb="19" eb="23">
      <t>シヨウジョウキョウ</t>
    </rPh>
    <rPh sb="26" eb="29">
      <t>サクジョズ</t>
    </rPh>
    <rPh sb="34" eb="36">
      <t>ツイカ</t>
    </rPh>
    <rPh sb="38" eb="39">
      <t>カタ</t>
    </rPh>
    <rPh sb="41" eb="44">
      <t>サイリヨウ</t>
    </rPh>
    <rPh sb="44" eb="47">
      <t>カノウカタ</t>
    </rPh>
    <rPh sb="49" eb="50">
      <t>フク</t>
    </rPh>
    <rPh sb="55" eb="56">
      <t>ギョウ</t>
    </rPh>
    <rPh sb="57" eb="58">
      <t>ミ</t>
    </rPh>
    <phoneticPr fontId="1"/>
  </si>
  <si>
    <r>
      <rPr>
        <sz val="11"/>
        <rFont val="ＭＳ Ｐゴシック"/>
        <family val="3"/>
        <charset val="128"/>
      </rPr>
      <t>③</t>
    </r>
    <r>
      <rPr>
        <sz val="11"/>
        <rFont val="ＭＳ Ｐゴシック"/>
        <family val="3"/>
        <charset val="128"/>
      </rPr>
      <t>シート</t>
    </r>
    <r>
      <rPr>
        <sz val="11"/>
        <rFont val="Xerox Sans"/>
        <family val="3"/>
      </rPr>
      <t>"</t>
    </r>
    <r>
      <rPr>
        <sz val="11"/>
        <rFont val="ＭＳ Ｐゴシック"/>
        <family val="3"/>
        <charset val="128"/>
      </rPr>
      <t>リスト</t>
    </r>
    <r>
      <rPr>
        <sz val="11"/>
        <rFont val="Xerox Sans"/>
        <family val="3"/>
      </rPr>
      <t>"</t>
    </r>
    <r>
      <rPr>
        <sz val="11"/>
        <rFont val="ＭＳ Ｐゴシック"/>
        <family val="3"/>
        <charset val="128"/>
      </rPr>
      <t>上で、</t>
    </r>
    <r>
      <rPr>
        <sz val="11"/>
        <rFont val="Xerox Sans"/>
        <family val="3"/>
      </rPr>
      <t>"</t>
    </r>
    <r>
      <rPr>
        <sz val="11"/>
        <rFont val="ＭＳ Ｐゴシック"/>
        <family val="3"/>
        <charset val="128"/>
      </rPr>
      <t>校閲</t>
    </r>
    <r>
      <rPr>
        <sz val="11"/>
        <rFont val="Xerox Sans"/>
        <family val="3"/>
      </rPr>
      <t xml:space="preserve"> </t>
    </r>
    <r>
      <rPr>
        <sz val="11"/>
        <rFont val="ＭＳ Ｐゴシック"/>
        <family val="3"/>
        <charset val="128"/>
      </rPr>
      <t>→</t>
    </r>
    <r>
      <rPr>
        <sz val="11"/>
        <rFont val="Xerox Sans"/>
        <family val="3"/>
      </rPr>
      <t xml:space="preserve"> </t>
    </r>
    <r>
      <rPr>
        <sz val="11"/>
        <rFont val="ＭＳ Ｐゴシック"/>
        <family val="3"/>
        <charset val="128"/>
      </rPr>
      <t>シートの保護の解除</t>
    </r>
    <r>
      <rPr>
        <sz val="11"/>
        <rFont val="Xerox Sans"/>
        <family val="3"/>
      </rPr>
      <t xml:space="preserve">" </t>
    </r>
    <r>
      <rPr>
        <sz val="11"/>
        <rFont val="ＭＳ Ｐゴシック"/>
        <family val="3"/>
        <charset val="128"/>
      </rPr>
      <t>を行う</t>
    </r>
    <rPh sb="9" eb="10">
      <t>ジョウ</t>
    </rPh>
    <rPh sb="13" eb="15">
      <t>コウエツ</t>
    </rPh>
    <rPh sb="22" eb="24">
      <t>ホゴ</t>
    </rPh>
    <rPh sb="25" eb="27">
      <t>カイジョ</t>
    </rPh>
    <rPh sb="30" eb="31">
      <t>オコナ</t>
    </rPh>
    <phoneticPr fontId="1"/>
  </si>
  <si>
    <r>
      <rPr>
        <sz val="11"/>
        <rFont val="ＭＳ Ｐゴシック"/>
        <family val="3"/>
        <charset val="128"/>
      </rPr>
      <t>④</t>
    </r>
    <r>
      <rPr>
        <sz val="11"/>
        <rFont val="ＭＳ Ｐゴシック"/>
        <family val="3"/>
        <charset val="128"/>
      </rPr>
      <t>手順</t>
    </r>
    <r>
      <rPr>
        <sz val="11"/>
        <rFont val="Xerox Sans"/>
        <family val="3"/>
      </rPr>
      <t>2</t>
    </r>
    <r>
      <rPr>
        <sz val="11"/>
        <rFont val="ＭＳ Ｐゴシック"/>
        <family val="3"/>
        <charset val="128"/>
      </rPr>
      <t>で見つけた行の</t>
    </r>
    <r>
      <rPr>
        <sz val="11"/>
        <rFont val="Xerox Sans"/>
        <family val="3"/>
      </rPr>
      <t>NVM</t>
    </r>
    <r>
      <rPr>
        <sz val="11"/>
        <rFont val="ＭＳ Ｐゴシック"/>
        <family val="3"/>
        <charset val="128"/>
      </rPr>
      <t>の</t>
    </r>
    <r>
      <rPr>
        <sz val="11"/>
        <rFont val="Xerox Sans"/>
        <family val="3"/>
      </rPr>
      <t>"Ram Address"</t>
    </r>
    <r>
      <rPr>
        <sz val="11"/>
        <rFont val="ＭＳ Ｐゴシック"/>
        <family val="3"/>
        <charset val="128"/>
      </rPr>
      <t>の値を消去する</t>
    </r>
    <rPh sb="1" eb="3">
      <t>テジュン</t>
    </rPh>
    <rPh sb="5" eb="6">
      <t>ミ</t>
    </rPh>
    <rPh sb="9" eb="10">
      <t>ギョウ</t>
    </rPh>
    <rPh sb="29" eb="30">
      <t>アタイ</t>
    </rPh>
    <rPh sb="31" eb="33">
      <t>ショウキョ</t>
    </rPh>
    <phoneticPr fontId="1"/>
  </si>
  <si>
    <r>
      <rPr>
        <sz val="11"/>
        <rFont val="ＭＳ Ｐゴシック"/>
        <family val="3"/>
        <charset val="128"/>
      </rPr>
      <t>⑤</t>
    </r>
    <r>
      <rPr>
        <sz val="11"/>
        <rFont val="ＭＳ Ｐゴシック"/>
        <family val="3"/>
        <charset val="128"/>
      </rPr>
      <t>追加する</t>
    </r>
    <r>
      <rPr>
        <sz val="11"/>
        <rFont val="Xerox Sans"/>
        <family val="3"/>
      </rPr>
      <t>NVM</t>
    </r>
    <r>
      <rPr>
        <sz val="11"/>
        <rFont val="ＭＳ Ｐゴシック"/>
        <family val="3"/>
        <charset val="128"/>
      </rPr>
      <t>に、手順</t>
    </r>
    <r>
      <rPr>
        <sz val="11"/>
        <rFont val="Xerox Sans"/>
        <family val="3"/>
      </rPr>
      <t>2</t>
    </r>
    <r>
      <rPr>
        <sz val="11"/>
        <rFont val="ＭＳ Ｐゴシック"/>
        <family val="3"/>
        <charset val="128"/>
      </rPr>
      <t>で見つけた行の</t>
    </r>
    <r>
      <rPr>
        <sz val="11"/>
        <rFont val="Xerox Sans"/>
        <family val="3"/>
      </rPr>
      <t>"Ram Address"</t>
    </r>
    <r>
      <rPr>
        <sz val="11"/>
        <rFont val="ＭＳ Ｐゴシック"/>
        <family val="3"/>
        <charset val="128"/>
      </rPr>
      <t>の値を書き込む</t>
    </r>
    <rPh sb="1" eb="3">
      <t>ツイカ</t>
    </rPh>
    <rPh sb="10" eb="12">
      <t>テジュン</t>
    </rPh>
    <rPh sb="14" eb="15">
      <t>ミ</t>
    </rPh>
    <rPh sb="18" eb="19">
      <t>ギョウ</t>
    </rPh>
    <rPh sb="34" eb="35">
      <t>アタイ</t>
    </rPh>
    <rPh sb="36" eb="37">
      <t>カ</t>
    </rPh>
    <rPh sb="38" eb="39">
      <t>コ</t>
    </rPh>
    <phoneticPr fontId="1"/>
  </si>
  <si>
    <r>
      <rPr>
        <sz val="11"/>
        <rFont val="ＭＳ Ｐゴシック"/>
        <family val="3"/>
        <charset val="128"/>
      </rPr>
      <t>⑥</t>
    </r>
    <r>
      <rPr>
        <sz val="11"/>
        <rFont val="ＭＳ Ｐゴシック"/>
        <family val="3"/>
        <charset val="128"/>
      </rPr>
      <t>シート</t>
    </r>
    <r>
      <rPr>
        <sz val="11"/>
        <rFont val="Xerox Sans"/>
        <family val="3"/>
      </rPr>
      <t>"</t>
    </r>
    <r>
      <rPr>
        <sz val="11"/>
        <rFont val="ＭＳ Ｐゴシック"/>
        <family val="3"/>
        <charset val="128"/>
      </rPr>
      <t>ソース生成</t>
    </r>
    <r>
      <rPr>
        <sz val="11"/>
        <rFont val="Xerox Sans"/>
        <family val="3"/>
      </rPr>
      <t>"</t>
    </r>
    <r>
      <rPr>
        <sz val="11"/>
        <rFont val="ＭＳ Ｐゴシック"/>
        <family val="3"/>
        <charset val="128"/>
      </rPr>
      <t>上で、</t>
    </r>
    <r>
      <rPr>
        <sz val="11"/>
        <rFont val="Xerox Sans"/>
        <family val="3"/>
      </rPr>
      <t>"</t>
    </r>
    <r>
      <rPr>
        <sz val="11"/>
        <rFont val="ＭＳ Ｐゴシック"/>
        <family val="3"/>
        <charset val="128"/>
      </rPr>
      <t>入力確認</t>
    </r>
    <r>
      <rPr>
        <sz val="11"/>
        <rFont val="Xerox Sans"/>
        <family val="3"/>
      </rPr>
      <t>"</t>
    </r>
    <r>
      <rPr>
        <sz val="11"/>
        <rFont val="ＭＳ Ｐゴシック"/>
        <family val="3"/>
        <charset val="128"/>
      </rPr>
      <t>ボタンを押し、入力が正しいことを確認する</t>
    </r>
    <rPh sb="8" eb="10">
      <t>セイセイ</t>
    </rPh>
    <rPh sb="11" eb="12">
      <t>ジョウ</t>
    </rPh>
    <rPh sb="15" eb="19">
      <t>ニュウリョクカクニン</t>
    </rPh>
    <rPh sb="24" eb="25">
      <t>オ</t>
    </rPh>
    <rPh sb="27" eb="29">
      <t>ニュウリョク</t>
    </rPh>
    <rPh sb="30" eb="31">
      <t>タダ</t>
    </rPh>
    <rPh sb="36" eb="38">
      <t>カクニン</t>
    </rPh>
    <phoneticPr fontId="1"/>
  </si>
  <si>
    <r>
      <rPr>
        <sz val="11"/>
        <rFont val="ＭＳ Ｐゴシック"/>
        <family val="3"/>
        <charset val="128"/>
      </rPr>
      <t>⑦開発</t>
    </r>
    <r>
      <rPr>
        <sz val="11"/>
        <rFont val="Xerox Sans"/>
        <family val="3"/>
      </rPr>
      <t xml:space="preserve"> </t>
    </r>
    <r>
      <rPr>
        <sz val="11"/>
        <rFont val="ＭＳ Ｐゴシック"/>
        <family val="3"/>
        <charset val="128"/>
      </rPr>
      <t>→</t>
    </r>
    <r>
      <rPr>
        <sz val="11"/>
        <rFont val="Xerox Sans"/>
        <family val="3"/>
      </rPr>
      <t xml:space="preserve"> </t>
    </r>
    <r>
      <rPr>
        <sz val="11"/>
        <rFont val="ＭＳ Ｐゴシック"/>
        <family val="3"/>
        <charset val="128"/>
      </rPr>
      <t>マクロ</t>
    </r>
    <r>
      <rPr>
        <sz val="11"/>
        <rFont val="Xerox Sans"/>
        <family val="3"/>
      </rPr>
      <t xml:space="preserve"> </t>
    </r>
    <r>
      <rPr>
        <sz val="11"/>
        <rFont val="ＭＳ Ｐゴシック"/>
        <family val="3"/>
        <charset val="128"/>
      </rPr>
      <t>→</t>
    </r>
    <r>
      <rPr>
        <sz val="11"/>
        <rFont val="Xerox Sans"/>
        <family val="3"/>
      </rPr>
      <t xml:space="preserve"> ProtectSheet" </t>
    </r>
    <r>
      <rPr>
        <sz val="11"/>
        <rFont val="ＭＳ Ｐゴシック"/>
        <family val="3"/>
        <charset val="128"/>
      </rPr>
      <t>を実行し、シートの保護を実施する</t>
    </r>
    <rPh sb="35" eb="37">
      <t>ホゴ</t>
    </rPh>
    <rPh sb="38" eb="40">
      <t>ジッシ</t>
    </rPh>
    <phoneticPr fontId="1"/>
  </si>
  <si>
    <t>③入力確認</t>
    <rPh sb="1" eb="3">
      <t>ニュウリョク</t>
    </rPh>
    <rPh sb="3" eb="5">
      <t>カクニン</t>
    </rPh>
    <phoneticPr fontId="1"/>
  </si>
  <si>
    <t>④ソースコード生成</t>
    <rPh sb="7" eb="9">
      <t>セイセイ</t>
    </rPh>
    <phoneticPr fontId="1"/>
  </si>
  <si>
    <r>
      <rPr>
        <sz val="12"/>
        <rFont val="ＭＳ Ｐゴシック"/>
        <family val="3"/>
        <charset val="128"/>
      </rPr>
      <t>⑤</t>
    </r>
    <r>
      <rPr>
        <sz val="12"/>
        <rFont val="Xerox Sans"/>
        <family val="3"/>
      </rPr>
      <t>IOT Simulator</t>
    </r>
    <r>
      <rPr>
        <sz val="12"/>
        <rFont val="ＭＳ Ｐゴシック"/>
        <family val="3"/>
        <charset val="128"/>
      </rPr>
      <t>用ファイル生成</t>
    </r>
    <rPh sb="14" eb="15">
      <t>ヨウ</t>
    </rPh>
    <rPh sb="19" eb="21">
      <t>セイセイ</t>
    </rPh>
    <phoneticPr fontId="1"/>
  </si>
  <si>
    <r>
      <rPr>
        <sz val="11"/>
        <rFont val="ＭＳ Ｐゴシック"/>
        <family val="3"/>
        <charset val="128"/>
      </rPr>
      <t>型</t>
    </r>
    <r>
      <rPr>
        <sz val="11"/>
        <rFont val="Xerox Sans"/>
        <family val="3"/>
      </rPr>
      <t>/</t>
    </r>
    <r>
      <rPr>
        <sz val="11"/>
        <rFont val="ＭＳ Ｐゴシック"/>
        <family val="3"/>
        <charset val="128"/>
      </rPr>
      <t>名前</t>
    </r>
    <r>
      <rPr>
        <sz val="11"/>
        <rFont val="Xerox Sans"/>
        <family val="3"/>
      </rPr>
      <t>/Chain Link</t>
    </r>
    <r>
      <rPr>
        <sz val="11"/>
        <rFont val="ＭＳ Ｐゴシック"/>
        <family val="3"/>
        <charset val="128"/>
      </rPr>
      <t>の重なりがないかを</t>
    </r>
    <r>
      <rPr>
        <sz val="11"/>
        <rFont val="ＭＳ Ｐゴシック"/>
        <family val="3"/>
        <charset val="128"/>
      </rPr>
      <t>確認する。</t>
    </r>
    <phoneticPr fontId="1"/>
  </si>
  <si>
    <t>763</t>
  </si>
  <si>
    <t>Finisher Major Soft Version</t>
  </si>
  <si>
    <t>Finisher Minor Soft Version</t>
  </si>
  <si>
    <t>Finisher Patch Soft Version</t>
  </si>
  <si>
    <t>FINISHER_PATCH_VERSION</t>
  </si>
  <si>
    <t>VERSION_DOWN_INIT_ENABLE</t>
  </si>
  <si>
    <t>SET_PITCH_SETTING2</t>
  </si>
  <si>
    <t>READ_FLASHDATA_LOG_NUM</t>
  </si>
  <si>
    <t>Transport Solenoid Push時間(a)</t>
  </si>
  <si>
    <t>排出済みStaple Set数</t>
  </si>
  <si>
    <t>最終排出用紙の幅</t>
  </si>
  <si>
    <t>最終排出用紙の長さ</t>
  </si>
  <si>
    <t>積載用紙の最大サイズ(幅)</t>
  </si>
  <si>
    <t>積載用紙の最大サイズ(長さ)</t>
  </si>
  <si>
    <t>Mix Full Stack発生有無</t>
  </si>
  <si>
    <t>MIX_STACK</t>
  </si>
  <si>
    <t>Stacker Tray排出枚数</t>
  </si>
  <si>
    <t>Stacker Motor UP動作回数</t>
  </si>
  <si>
    <t>Stacker Motor DOWN動作回数</t>
  </si>
  <si>
    <t>STACKER_MOT_DOWN_COUNT</t>
  </si>
  <si>
    <t>Stacker Motor の Pulse Count数</t>
  </si>
  <si>
    <t>ELEVATOR_MOT_PULSE_COUNT</t>
  </si>
  <si>
    <t>Lower Limit閾値</t>
  </si>
  <si>
    <t>LOW_PULSE_LIMIT</t>
  </si>
  <si>
    <t>Mix Full Stack検知有無</t>
  </si>
  <si>
    <t>MIX_STACK_ENABLE</t>
  </si>
  <si>
    <t>Full Stack OFFパルスカウント値</t>
  </si>
  <si>
    <t>FULL_STACK_OFF_COUNT</t>
  </si>
  <si>
    <t>Mix Full Stack パルスカウント値閾値</t>
  </si>
  <si>
    <t>MIX_FULL_STACK_POS_PULSE_LIMIT</t>
  </si>
  <si>
    <r>
      <t>大サイズ(＞ 297mm)Full Stackエンコーダ閾値</t>
    </r>
    <r>
      <rPr>
        <sz val="10"/>
        <rFont val="Xerox Sans"/>
        <family val="3"/>
      </rPr>
      <t/>
    </r>
  </si>
  <si>
    <t>L_Full_STACK_POS_PULSE_LIMIT</t>
  </si>
  <si>
    <r>
      <t>小サイズ（≦ 297mm）Full Stackエンコーダ閾値</t>
    </r>
    <r>
      <rPr>
        <sz val="10"/>
        <rFont val="Xerox Sans"/>
        <family val="3"/>
      </rPr>
      <t/>
    </r>
  </si>
  <si>
    <t>Full Stack解除閾値1</t>
    <rPh sb="12" eb="14">
      <t>シキイチ</t>
    </rPh>
    <phoneticPr fontId="1"/>
  </si>
  <si>
    <t>FULL_STACK_POSITION1</t>
  </si>
  <si>
    <t>Full Stack解除閾値2</t>
    <rPh sb="12" eb="14">
      <t>シキイチ</t>
    </rPh>
    <phoneticPr fontId="1"/>
  </si>
  <si>
    <t>FULL_STACK_POSITION2</t>
  </si>
  <si>
    <t>コーナーステープルセットカウント(N1)</t>
    <rPh sb="0" eb="2">
      <t>ショウスウ</t>
    </rPh>
    <rPh sb="2" eb="3">
      <t>マイ</t>
    </rPh>
    <phoneticPr fontId="1"/>
  </si>
  <si>
    <t>CORNER_STAPLE_COUNT_N1</t>
  </si>
  <si>
    <r>
      <t xml:space="preserve">コーナーステープル収容不良対策モード閾値[N2] </t>
    </r>
    <r>
      <rPr>
        <sz val="10"/>
        <color rgb="FF0070C0"/>
        <rFont val="Xerox Sans"/>
        <family val="3"/>
      </rPr>
      <t/>
    </r>
    <rPh sb="9" eb="11">
      <t>シュウヨウ</t>
    </rPh>
    <rPh sb="11" eb="13">
      <t>フリョウ</t>
    </rPh>
    <rPh sb="13" eb="15">
      <t>タイサク</t>
    </rPh>
    <rPh sb="18" eb="19">
      <t>イキ</t>
    </rPh>
    <rPh sb="19" eb="20">
      <t>チ</t>
    </rPh>
    <phoneticPr fontId="1"/>
  </si>
  <si>
    <t>CORNER_STAPLE_MODE_COUNT_N2</t>
  </si>
  <si>
    <t>コンパイル位置への移動量(通常モード)[H3]</t>
  </si>
  <si>
    <r>
      <t xml:space="preserve">コンパイル位置への移動におけるStacker MOT上昇パルス数[G1]
</t>
    </r>
    <r>
      <rPr>
        <sz val="10"/>
        <color rgb="FFFF0000"/>
        <rFont val="HG丸ｺﾞｼｯｸM-PRO"/>
        <family val="3"/>
        <charset val="128"/>
      </rPr>
      <t/>
    </r>
    <rPh sb="5" eb="7">
      <t>イチ</t>
    </rPh>
    <rPh sb="9" eb="11">
      <t>イドウ</t>
    </rPh>
    <rPh sb="26" eb="28">
      <t>ジョウショウ</t>
    </rPh>
    <rPh sb="31" eb="32">
      <t>スウ</t>
    </rPh>
    <phoneticPr fontId="1"/>
  </si>
  <si>
    <t>STACKER_MOT_LIFT_UP_COUNT_G1</t>
  </si>
  <si>
    <r>
      <t xml:space="preserve">コンパイル位置への移動におけるStacker MOT上昇パルス数[G2]
</t>
    </r>
    <r>
      <rPr>
        <sz val="10"/>
        <color rgb="FFFF0000"/>
        <rFont val="HG丸ｺﾞｼｯｸM-PRO"/>
        <family val="3"/>
        <charset val="128"/>
      </rPr>
      <t/>
    </r>
    <rPh sb="5" eb="7">
      <t>イチ</t>
    </rPh>
    <rPh sb="9" eb="11">
      <t>イドウ</t>
    </rPh>
    <rPh sb="26" eb="28">
      <t>ジョウショウ</t>
    </rPh>
    <rPh sb="31" eb="32">
      <t>スウ</t>
    </rPh>
    <phoneticPr fontId="1"/>
  </si>
  <si>
    <t>STACKER_MOT_LIFT_UP_COUNT_G2</t>
  </si>
  <si>
    <t>STACKER_MOT_LIFT_DOWN_COUNT_H1_2</t>
  </si>
  <si>
    <t>STACKER_MOT_LIFT_DOWN_COUNT_H2_1</t>
  </si>
  <si>
    <t>STACKER_MOT_LIFT_DOWN_COUNT_H2_2</t>
  </si>
  <si>
    <t>小サイズ（≦ 297mm）Set Over Count検知：
Corner Staple時のFull Stack部数制限</t>
  </si>
  <si>
    <t>大サイズ(＞ 297mm)Set Over Count検知：
Corner Staple時のFull Stack部数制限</t>
  </si>
  <si>
    <t>最終排出セットのStaple Position</t>
  </si>
  <si>
    <t>MAX_COMPILE_SHEET_COUNT_FOR_STAPLE_50</t>
  </si>
  <si>
    <t>LAST_OFFSET_POSITION</t>
  </si>
  <si>
    <t>MAX_COMPILE_SHEET_FOR_UNSTAPLE_SIZE_S</t>
  </si>
  <si>
    <t>MAX_COMPILE_SHEET_FOR_UNSTAPLE_SIZE_L</t>
  </si>
  <si>
    <t>TAMPER_RETURN_OUT_START_TIME</t>
  </si>
  <si>
    <t>動作方向が内方向のタンパーリターン動作開始時間の補正</t>
    <rPh sb="0" eb="2">
      <t>ドウサ</t>
    </rPh>
    <rPh sb="2" eb="4">
      <t>ホウコウ</t>
    </rPh>
    <rPh sb="5" eb="6">
      <t>ウチ</t>
    </rPh>
    <rPh sb="6" eb="8">
      <t>ホウコウ</t>
    </rPh>
    <rPh sb="17" eb="19">
      <t>ドウサ</t>
    </rPh>
    <rPh sb="19" eb="21">
      <t>カイシ</t>
    </rPh>
    <rPh sb="21" eb="23">
      <t>ジカン</t>
    </rPh>
    <rPh sb="24" eb="26">
      <t>ホセイ</t>
    </rPh>
    <phoneticPr fontId="1"/>
  </si>
  <si>
    <t>TAMPER_RETURN_IN_START_TIME</t>
  </si>
  <si>
    <t>TAMPER_UN_STPLE_ADJST</t>
  </si>
  <si>
    <t>TAMPING_ADD_PUSH_PULSE</t>
  </si>
  <si>
    <t>Tamper用紙揃え押し込み量追加の調整の用紙枚数閾値</t>
    <rPh sb="21" eb="23">
      <t>ヨウシ</t>
    </rPh>
    <rPh sb="23" eb="25">
      <t>マイスウ</t>
    </rPh>
    <phoneticPr fontId="1"/>
  </si>
  <si>
    <t>TAMPING_ADD_PUSH_PAPER_COUNT</t>
  </si>
  <si>
    <t>STAPLE_SPEED_CHANGE</t>
  </si>
  <si>
    <t>コート紙のステープル実施有無</t>
  </si>
  <si>
    <t>Stacker Stapler Near Low検知しきい値</t>
  </si>
  <si>
    <t>サブパドル停止 時の動作開始時間(T1)</t>
    <rPh sb="0" eb="20">
      <t>フツウシイガイ</t>
    </rPh>
    <phoneticPr fontId="1"/>
  </si>
  <si>
    <t>SUB_PADDLE_STOP_TIME_1</t>
  </si>
  <si>
    <t>イジェクトベルトー減速開始Pulse数(T2)</t>
  </si>
  <si>
    <t>EJECT_SPEED_CHANGE_TIME_2</t>
  </si>
  <si>
    <t>Eject Compile Motorの停止開始Pulse数(T3)</t>
  </si>
  <si>
    <t>EJECT_COMPILE_MOTOR_STOP_PULSE</t>
  </si>
  <si>
    <t>セットクランプの動作開始時間(T4)</t>
  </si>
  <si>
    <t>SET_CLAMP_UP_START_TIME_4</t>
  </si>
  <si>
    <t>セットクランプの一時停止開始時間(T5)</t>
    <rPh sb="8" eb="10">
      <t>イチジ</t>
    </rPh>
    <phoneticPr fontId="1"/>
  </si>
  <si>
    <t>SET_CLAMP_UP_STOP_TIME_5</t>
  </si>
  <si>
    <t>Set Clamp突出し動作開始時間(T6)</t>
    <rPh sb="14" eb="16">
      <t>カイシ</t>
    </rPh>
    <phoneticPr fontId="1"/>
  </si>
  <si>
    <t>SET_CLAMP_LOWER_START_TIME_6</t>
  </si>
  <si>
    <t>Set Clamp突出し動作停止時間(T7)</t>
  </si>
  <si>
    <t>SET_CLAMP_LOWER_STOP_TIME_7</t>
  </si>
  <si>
    <t>サブパドル用紙搬入 時の動作開始時間(T6)
(普通紙,コート紙以外)</t>
    <rPh sb="0" eb="20">
      <t>フツウシイガイ</t>
    </rPh>
    <phoneticPr fontId="1"/>
  </si>
  <si>
    <t>サブパドル用紙搬入 時の動作開始時間(T6)
(コート紙)</t>
    <rPh sb="0" eb="20">
      <t>フツウシイガイ</t>
    </rPh>
    <phoneticPr fontId="1"/>
  </si>
  <si>
    <t>NVM [用紙種類切り替え]
(普通紙)</t>
  </si>
  <si>
    <t>NVM [用紙種類切り替え]
(普通紙,コート紙以外)</t>
  </si>
  <si>
    <t>NVM [用紙種類切り替え]
(コート紙)</t>
  </si>
  <si>
    <t>サブパドル用紙搬入 時の動作回数(P)
(用紙長さ297.0mm以下, 普通紙)</t>
  </si>
  <si>
    <t>SUB_PADDLE_COUNT1</t>
  </si>
  <si>
    <t>SUB_PADDLE_COUNT2</t>
  </si>
  <si>
    <t>サブパドル用紙搬入 時の動作回数(P)
(用紙長さ297.0mm以下, 普通紙,コート紙以外)</t>
  </si>
  <si>
    <t>SUB_PADDLE_COUNT3</t>
  </si>
  <si>
    <t>SUB_PADDLE_COUNT4</t>
  </si>
  <si>
    <t>サブパドル用紙搬入 時の動作回数(P)
(用紙長さ297.0mm以下, コート紙)</t>
  </si>
  <si>
    <t>SUB_PADDLE_COUNT5</t>
  </si>
  <si>
    <t>SUB_PADDLE_COUNT6</t>
  </si>
  <si>
    <t>UC</t>
  </si>
  <si>
    <t>US</t>
  </si>
  <si>
    <t>UL</t>
  </si>
  <si>
    <t>SC</t>
  </si>
  <si>
    <t>×</t>
  </si>
  <si>
    <t>○</t>
  </si>
  <si>
    <t>1Count=1ｍｓ</t>
  </si>
  <si>
    <t>1Count=1回</t>
    <rPh sb="8" eb="9">
      <t>カイ</t>
    </rPh>
    <phoneticPr fontId="1"/>
  </si>
  <si>
    <t>1Count =1SET</t>
  </si>
  <si>
    <t>1Count = 0.1mm</t>
  </si>
  <si>
    <t>0:未発生
1:発生</t>
  </si>
  <si>
    <t xml:space="preserve">1Count = 1枚
</t>
  </si>
  <si>
    <t xml:space="preserve">Stacker Motor UP動作回数
</t>
  </si>
  <si>
    <t xml:space="preserve">Stacker Motor DOWN動作回数
</t>
  </si>
  <si>
    <t xml:space="preserve">1Count = 1Pulse
</t>
  </si>
  <si>
    <t xml:space="preserve">0:検知しない
1:検知
</t>
  </si>
  <si>
    <t>1Count = 1Set
※1セット10枚以下のセットで、Front Cover Staple 処理をするセット数をカウントする。</t>
    <rPh sb="21" eb="22">
      <t>マイ</t>
    </rPh>
    <rPh sb="22" eb="24">
      <t>イカショリスウ</t>
    </rPh>
    <phoneticPr fontId="1"/>
  </si>
  <si>
    <t>コーナーステープル収容不良対策モードへ移行する閾値
1Count = 1Set</t>
    <rPh sb="9" eb="11">
      <t>シュウヨウ</t>
    </rPh>
    <rPh sb="11" eb="13">
      <t>フリョウ</t>
    </rPh>
    <rPh sb="13" eb="15">
      <t>タイサク</t>
    </rPh>
    <rPh sb="19" eb="21">
      <t>イコウ</t>
    </rPh>
    <rPh sb="23" eb="25">
      <t>シキイチ</t>
    </rPh>
    <phoneticPr fontId="1"/>
  </si>
  <si>
    <t>1Count = 10ms</t>
  </si>
  <si>
    <t>コンパイル位置への移動動作におけるStacker MOT上昇パルス数
(少数枚コーナーステープル収容性不良対策モードしきい値[N2]部数以下に適用)
1Count = 1[Pulse]</t>
    <rPh sb="5" eb="7">
      <t>イチ</t>
    </rPh>
    <rPh sb="9" eb="11">
      <t>イドウ</t>
    </rPh>
    <rPh sb="11" eb="13">
      <t>ドウサ</t>
    </rPh>
    <rPh sb="28" eb="30">
      <t>ジョウショウ</t>
    </rPh>
    <rPh sb="33" eb="34">
      <t>スウ</t>
    </rPh>
    <rPh sb="77" eb="79">
      <t>テキヨウ</t>
    </rPh>
    <phoneticPr fontId="1"/>
  </si>
  <si>
    <t>コンパイル位置への移動動作におけるStacker MOT上昇パルス数
(コーナーステープル収容性不良対策モードしきい値[N2]部数超え に適用)
1Count = 1[Pulse]</t>
    <rPh sb="5" eb="7">
      <t>イチ</t>
    </rPh>
    <rPh sb="9" eb="11">
      <t>イドウ</t>
    </rPh>
    <rPh sb="11" eb="13">
      <t>ドウサ</t>
    </rPh>
    <rPh sb="28" eb="30">
      <t>ジョウショウ</t>
    </rPh>
    <rPh sb="33" eb="34">
      <t>スウ</t>
    </rPh>
    <rPh sb="72" eb="74">
      <t>テキヨウ</t>
    </rPh>
    <phoneticPr fontId="1"/>
  </si>
  <si>
    <t>用紙排出時のStacker Tray下降開始タイミング(UN-STAPLE)
!Count = 10ms</t>
    <rPh sb="0" eb="2">
      <t>ヨウシ</t>
    </rPh>
    <rPh sb="2" eb="4">
      <t>ハイシュツ</t>
    </rPh>
    <rPh sb="4" eb="5">
      <t>ジ</t>
    </rPh>
    <rPh sb="18" eb="20">
      <t>カコウ</t>
    </rPh>
    <rPh sb="20" eb="22">
      <t>カイシ</t>
    </rPh>
    <phoneticPr fontId="1"/>
  </si>
  <si>
    <t>用紙排出時のStacker Tray下降開始タイミング(CORNER-STAPLE)
!Count = 10ms</t>
    <rPh sb="0" eb="2">
      <t>ヨウシ</t>
    </rPh>
    <rPh sb="2" eb="4">
      <t>ハイシュツ</t>
    </rPh>
    <rPh sb="4" eb="5">
      <t>ジ</t>
    </rPh>
    <rPh sb="18" eb="20">
      <t>カコウ</t>
    </rPh>
    <rPh sb="20" eb="22">
      <t>カイシ</t>
    </rPh>
    <phoneticPr fontId="1"/>
  </si>
  <si>
    <t>イジェクト位置への移動動作におけるStacker MOT下降追加パルス数
(コーナーステープル収容不良対策モード閾値(N2)以下に適用)
1Count = 1[Pulse]</t>
    <rPh sb="5" eb="7">
      <t>イチ</t>
    </rPh>
    <rPh sb="9" eb="11">
      <t>イドウ</t>
    </rPh>
    <rPh sb="11" eb="13">
      <t>ドウサ</t>
    </rPh>
    <rPh sb="28" eb="30">
      <t>カコウ</t>
    </rPh>
    <rPh sb="30" eb="32">
      <t>ツイカ</t>
    </rPh>
    <rPh sb="35" eb="36">
      <t>スウ</t>
    </rPh>
    <rPh sb="62" eb="64">
      <t>イカ</t>
    </rPh>
    <phoneticPr fontId="1"/>
  </si>
  <si>
    <t>イジェクト位置への移動動作におけるStacker MOT下降追加パルス数
(コーナーステープル収容不良対策モード閾値(N2)を超える場合に適用)
1Count = 1[Pulse]</t>
    <rPh sb="5" eb="7">
      <t>イチ</t>
    </rPh>
    <rPh sb="9" eb="11">
      <t>イドウ</t>
    </rPh>
    <rPh sb="11" eb="13">
      <t>ドウサ</t>
    </rPh>
    <rPh sb="63" eb="64">
      <t>コ</t>
    </rPh>
    <rPh sb="66" eb="68">
      <t>バアイ</t>
    </rPh>
    <phoneticPr fontId="1"/>
  </si>
  <si>
    <t xml:space="preserve">1Count = 1部
</t>
  </si>
  <si>
    <t>最終排出セットのステープル位置
0: Un staple, 1: Corner Staple</t>
    <rPh sb="0" eb="2">
      <t>サイシュウ</t>
    </rPh>
    <rPh sb="2" eb="4">
      <t>ハイシュツ</t>
    </rPh>
    <rPh sb="13" eb="15">
      <t>イチ</t>
    </rPh>
    <phoneticPr fontId="1"/>
  </si>
  <si>
    <t>規定枚数以降のタンピング動作押し込み量を調整する。
1count=1pulse</t>
    <rPh sb="0" eb="2">
      <t>キテイ</t>
    </rPh>
    <rPh sb="2" eb="4">
      <t>マイスウ</t>
    </rPh>
    <phoneticPr fontId="1"/>
  </si>
  <si>
    <t>Tamper用紙揃え押し込み量追加の調整を行う用紙枚数を調整。
1count=1枚</t>
    <rPh sb="40" eb="41">
      <t>マイ</t>
    </rPh>
    <phoneticPr fontId="1"/>
  </si>
  <si>
    <t xml:space="preserve">1Count = 1
</t>
  </si>
  <si>
    <t>1Count = 1回
0回: Unstaple,  1回:  Single Stitch, 
カウントが最大値となった場合0にリセットされる。</t>
  </si>
  <si>
    <t>1Count = 1回</t>
  </si>
  <si>
    <t xml:space="preserve">時間(ms)
1Count = 1ms
</t>
  </si>
  <si>
    <t xml:space="preserve">Pulse数
1Count = 1Pulse
</t>
  </si>
  <si>
    <t xml:space="preserve">普通紙の動作開始時間(ms)
1Count = 1ms
</t>
    <rPh sb="4" eb="6">
      <t>ドウサ</t>
    </rPh>
    <rPh sb="6" eb="8">
      <t>カイシ</t>
    </rPh>
    <phoneticPr fontId="1"/>
  </si>
  <si>
    <t xml:space="preserve">普通紙とコート紙以外の動作開始時間(ms)
1Count = 1ms
</t>
    <rPh sb="11" eb="13">
      <t>ドウサ</t>
    </rPh>
    <rPh sb="13" eb="15">
      <t>カイシ</t>
    </rPh>
    <phoneticPr fontId="1"/>
  </si>
  <si>
    <t xml:space="preserve">コート紙の動作開始時間(ms)
1Count = 1ms
</t>
    <rPh sb="5" eb="7">
      <t>ドウサ</t>
    </rPh>
    <rPh sb="7" eb="9">
      <t>カイシ</t>
    </rPh>
    <phoneticPr fontId="1"/>
  </si>
  <si>
    <t>普通紙の速度切り替え：初期値１
1:300rpm
2:430rpm
3:600rpm</t>
    <rPh sb="0" eb="2">
      <t>フツウ</t>
    </rPh>
    <rPh sb="2" eb="3">
      <t>カミ</t>
    </rPh>
    <rPh sb="4" eb="6">
      <t>ソクド</t>
    </rPh>
    <rPh sb="6" eb="7">
      <t>キ</t>
    </rPh>
    <rPh sb="8" eb="9">
      <t>カ</t>
    </rPh>
    <rPh sb="11" eb="14">
      <t>ショキチ</t>
    </rPh>
    <phoneticPr fontId="1"/>
  </si>
  <si>
    <t>普通紙とコート紙以外の速度切り替え：初期値１
1:300rpm
2:430rpm
3:600rpm</t>
    <rPh sb="11" eb="13">
      <t>ソクド</t>
    </rPh>
    <rPh sb="13" eb="14">
      <t>キ</t>
    </rPh>
    <rPh sb="15" eb="16">
      <t>カ</t>
    </rPh>
    <rPh sb="18" eb="21">
      <t>ショキチ</t>
    </rPh>
    <phoneticPr fontId="1"/>
  </si>
  <si>
    <t>コート紙の速度切り替え：初期値１
1:300rpm
2:430rpm
3:600rpm</t>
    <rPh sb="3" eb="4">
      <t>カミ</t>
    </rPh>
    <rPh sb="5" eb="7">
      <t>ソクド</t>
    </rPh>
    <rPh sb="7" eb="8">
      <t>キ</t>
    </rPh>
    <rPh sb="9" eb="10">
      <t>カ</t>
    </rPh>
    <rPh sb="12" eb="15">
      <t>ショキチ</t>
    </rPh>
    <phoneticPr fontId="1"/>
  </si>
  <si>
    <t xml:space="preserve">回数(回)
1Count = 1回
</t>
    <rPh sb="0" eb="1">
      <t>カイ</t>
    </rPh>
    <rPh sb="1" eb="2">
      <t>スウ</t>
    </rPh>
    <rPh sb="3" eb="4">
      <t>カイ</t>
    </rPh>
    <phoneticPr fontId="1"/>
  </si>
  <si>
    <t xml:space="preserve">Stackerの総Staple回数
</t>
  </si>
  <si>
    <t>System</t>
  </si>
  <si>
    <t>トラブル解析用</t>
    <rPh sb="4" eb="7">
      <t>カイセキヨウ</t>
    </rPh>
    <phoneticPr fontId="1"/>
  </si>
  <si>
    <t>Tranport</t>
  </si>
  <si>
    <t>電源OFF時に記録し、次回電源ON時のFull Stack判断に使う</t>
    <rPh sb="0" eb="2">
      <t>デンゲン</t>
    </rPh>
    <rPh sb="5" eb="6">
      <t>ジ</t>
    </rPh>
    <rPh sb="7" eb="9">
      <t>キロク</t>
    </rPh>
    <rPh sb="11" eb="13">
      <t>ジカイ</t>
    </rPh>
    <rPh sb="13" eb="15">
      <t>デンゲン</t>
    </rPh>
    <rPh sb="17" eb="18">
      <t>ジ</t>
    </rPh>
    <rPh sb="29" eb="31">
      <t>ハンダン</t>
    </rPh>
    <rPh sb="32" eb="33">
      <t>ツカ</t>
    </rPh>
    <phoneticPr fontId="1"/>
  </si>
  <si>
    <t>Stacker</t>
  </si>
  <si>
    <t>電源OFF時に記録</t>
    <rPh sb="0" eb="2">
      <t>デンゲン</t>
    </rPh>
    <rPh sb="5" eb="6">
      <t>ジ</t>
    </rPh>
    <rPh sb="7" eb="9">
      <t>キロク</t>
    </rPh>
    <phoneticPr fontId="1"/>
  </si>
  <si>
    <t>Compiler</t>
  </si>
  <si>
    <t>Tamper</t>
  </si>
  <si>
    <t>Stapler</t>
  </si>
  <si>
    <t>Ejector</t>
  </si>
  <si>
    <t>NVM名称(英語)</t>
    <rPh sb="3" eb="5">
      <t>メイショウ</t>
    </rPh>
    <rPh sb="6" eb="8">
      <t>エイゴ</t>
    </rPh>
    <phoneticPr fontId="1"/>
  </si>
  <si>
    <t>初期値</t>
  </si>
  <si>
    <t>設定範囲</t>
    <rPh sb="0" eb="2">
      <t>セッテイ</t>
    </rPh>
    <rPh sb="2" eb="4">
      <t>ハンイ</t>
    </rPh>
    <phoneticPr fontId="1"/>
  </si>
  <si>
    <t>型情報</t>
    <rPh sb="0" eb="1">
      <t>カタ</t>
    </rPh>
    <rPh sb="1" eb="3">
      <t>ジョウホウ</t>
    </rPh>
    <phoneticPr fontId="1"/>
  </si>
  <si>
    <t>NVM説明</t>
    <rPh sb="3" eb="5">
      <t>セツメイ</t>
    </rPh>
    <phoneticPr fontId="1"/>
  </si>
  <si>
    <t>初期化
可否</t>
    <rPh sb="0" eb="3">
      <t>ショキカ</t>
    </rPh>
    <phoneticPr fontId="1"/>
  </si>
  <si>
    <t>書込み
可否</t>
    <rPh sb="0" eb="2">
      <t>カキコ</t>
    </rPh>
    <phoneticPr fontId="1"/>
  </si>
  <si>
    <t>備考</t>
  </si>
  <si>
    <t>部品名</t>
    <rPh sb="0" eb="3">
      <t>ブヒンメイ</t>
    </rPh>
    <phoneticPr fontId="1"/>
  </si>
  <si>
    <t>自動初期化
Version</t>
    <rPh sb="0" eb="2">
      <t>ジドウ</t>
    </rPh>
    <rPh sb="2" eb="5">
      <t>ショキカ</t>
    </rPh>
    <phoneticPr fontId="1"/>
  </si>
  <si>
    <t>削除ﾌﾗｸﾞ</t>
  </si>
  <si>
    <t>NVM保存頻度</t>
    <rPh sb="3" eb="7">
      <t>ホゾンヒンド</t>
    </rPh>
    <phoneticPr fontId="1"/>
  </si>
  <si>
    <t>SubCPU対象</t>
    <rPh sb="6" eb="8">
      <t>タイショウ</t>
    </rPh>
    <phoneticPr fontId="1"/>
  </si>
  <si>
    <t>DC361用 Address</t>
    <rPh sb="5" eb="6">
      <t>ヨウ</t>
    </rPh>
    <phoneticPr fontId="1"/>
  </si>
  <si>
    <t>型チェック無効</t>
    <rPh sb="0" eb="1">
      <t>カタ</t>
    </rPh>
    <rPh sb="5" eb="7">
      <t>ムコウ</t>
    </rPh>
    <phoneticPr fontId="1"/>
  </si>
  <si>
    <t>フィニッシャー搬送速度切り替え</t>
    <rPh sb="7" eb="9">
      <t>ハンソウ</t>
    </rPh>
    <rPh sb="9" eb="11">
      <t>ソクド</t>
    </rPh>
    <rPh sb="11" eb="12">
      <t>キ</t>
    </rPh>
    <rPh sb="13" eb="14">
      <t>カ</t>
    </rPh>
    <phoneticPr fontId="1"/>
  </si>
  <si>
    <t xml:space="preserve">Finisher SoftwareのMajor Version
</t>
  </si>
  <si>
    <t xml:space="preserve">Finisher SoftwareのMinor Version
</t>
  </si>
  <si>
    <t xml:space="preserve">Finisher Softwareの Patch Version
</t>
  </si>
  <si>
    <t>NVM自動初期化 バージョンダウン時初期化可否</t>
    <rPh sb="3" eb="8">
      <t>ジドウショキカ</t>
    </rPh>
    <rPh sb="17" eb="18">
      <t>ジ</t>
    </rPh>
    <rPh sb="18" eb="21">
      <t>ショキカ</t>
    </rPh>
    <rPh sb="21" eb="23">
      <t>カヒ</t>
    </rPh>
    <phoneticPr fontId="1"/>
  </si>
  <si>
    <t>バージョンダウン時にNVM自動初期化を行うかを切り替える
0=初期化を行わない
1=初期化を行う</t>
    <rPh sb="8" eb="9">
      <t>ジ</t>
    </rPh>
    <rPh sb="13" eb="15">
      <t>ジドウ</t>
    </rPh>
    <rPh sb="15" eb="18">
      <t>ショキカ</t>
    </rPh>
    <rPh sb="19" eb="20">
      <t>オコナ</t>
    </rPh>
    <rPh sb="23" eb="24">
      <t>キ</t>
    </rPh>
    <rPh sb="25" eb="26">
      <t>カ</t>
    </rPh>
    <rPh sb="32" eb="35">
      <t>ショキカ</t>
    </rPh>
    <rPh sb="36" eb="37">
      <t>オコナ</t>
    </rPh>
    <rPh sb="43" eb="46">
      <t>ショキカ</t>
    </rPh>
    <rPh sb="47" eb="48">
      <t>オコナ</t>
    </rPh>
    <phoneticPr fontId="1"/>
  </si>
  <si>
    <t>IOT EXIT SENSOR ACTIVELEVEL SW反転</t>
    <rPh sb="30" eb="32">
      <t>ハンテン</t>
    </rPh>
    <phoneticPr fontId="1"/>
  </si>
  <si>
    <t>0:ACTIVE（PORTでH、ConnectorでL)　CDI準拠
1:ACTIVE（PORTでL、ConnectorでH)  　暫定</t>
    <rPh sb="32" eb="34">
      <t>ジュンキョ</t>
    </rPh>
    <rPh sb="66" eb="68">
      <t>ザンテイ</t>
    </rPh>
    <phoneticPr fontId="1"/>
  </si>
  <si>
    <t>V1.0までの暫定仕様　V1.0で機能解除（削除可）</t>
    <rPh sb="7" eb="9">
      <t>ザンテイ</t>
    </rPh>
    <rPh sb="9" eb="11">
      <t>シヨウ</t>
    </rPh>
    <rPh sb="17" eb="19">
      <t>キノウ</t>
    </rPh>
    <rPh sb="19" eb="21">
      <t>カイジョ</t>
    </rPh>
    <rPh sb="22" eb="24">
      <t>サクジョ</t>
    </rPh>
    <rPh sb="24" eb="25">
      <t>カ</t>
    </rPh>
    <phoneticPr fontId="1"/>
  </si>
  <si>
    <t xml:space="preserve">非コート紙(60～80gsm)におけるステープル上限枚数(50枚ステープラユニット)
</t>
  </si>
  <si>
    <t xml:space="preserve">50枚ステープラユニット(ステープルカートリッジ)での非コート紙(60～80gsm)におけるステープル上限枚数を調整する。
1Count = 1枚
</t>
  </si>
  <si>
    <t xml:space="preserve">非コート紙(81～90gsm)におけるステープル上限枚数(50枚ステープラユニット)
</t>
  </si>
  <si>
    <t xml:space="preserve">50枚ステープラユニット(ステープルカートリッジ)での非コート紙(81～90gsm)におけるステープル上限枚数を調整する。
1Count = 1枚
</t>
  </si>
  <si>
    <t xml:space="preserve">非コート紙(91～105gsm)におけるステープル上限枚数(50枚ステープラユニット)
</t>
  </si>
  <si>
    <t xml:space="preserve">50枚ステープラユニット(ステープルカートリッジ)での非コート紙(91～105gsm)におけるステープル上限枚数を調整する。
1Count = 1枚
</t>
  </si>
  <si>
    <t xml:space="preserve">非コート紙(106～128gsm)におけるステープル上限枚数(50枚ステープラユニット)
</t>
  </si>
  <si>
    <t xml:space="preserve">50枚ステープラユニット(ステープルカートリッジ)での非コート紙(106～128gsm)におけるステープル上限枚数を調整する。
1Count = 1枚
</t>
  </si>
  <si>
    <t xml:space="preserve">非コート紙(129～150gsm)におけるステープル上限枚数(50枚ステープラユニット)
</t>
  </si>
  <si>
    <t xml:space="preserve">50枚ステープラユニット(ステープルカートリッジ)での非コート紙(129～150gsm)におけるステープル上限枚数を調整する。
1Count = 1枚
</t>
  </si>
  <si>
    <t xml:space="preserve">非コート紙(151～176gsm)におけるステープル上限枚数(50枚ステープラユニット)
</t>
  </si>
  <si>
    <t xml:space="preserve">50枚ステープラユニット(ステープルカートリッジ)での非コート紙(151～176gsm)におけるステープル上限枚数を調整する。
1Count = 1枚
</t>
  </si>
  <si>
    <t xml:space="preserve">非コート紙(177～220gsm)におけるステープル上限枚数(50枚ステープラユニット)
</t>
  </si>
  <si>
    <t xml:space="preserve">50枚ステープラユニット(ステープルカートリッジ)での非コート紙(177～220gsm)におけるステープル上限枚数を調整する。
1Count = 1枚
</t>
  </si>
  <si>
    <t xml:space="preserve">コート紙(106～128gsm)におけるステープル上限枚数(50枚ステープラユニット)
</t>
  </si>
  <si>
    <t xml:space="preserve">50枚ステープラユニット(ステープルカートリッジ)でのコート紙(106～128gsm)におけるステープル上限枚数を調整する。
1Count = 1枚
</t>
  </si>
  <si>
    <t xml:space="preserve">コート紙(129～150gsm)におけるステープル上限枚数(50枚ステープラユニット)
</t>
  </si>
  <si>
    <t xml:space="preserve">50枚ステープラユニット(ステープルカートリッジ)でのコート紙(129～150gsm)におけるステープル上限枚数を調整する。
1Count = 1枚
</t>
  </si>
  <si>
    <t xml:space="preserve">コート紙(151～176gsm)におけるステープル上限枚数(50枚ステープラユニット)
</t>
  </si>
  <si>
    <t xml:space="preserve">50枚ステープラユニット(ステープルカートリッジ)でのコート紙(151～176gsm)におけるステープル上限枚数を調整する。
1Count = 1枚
</t>
  </si>
  <si>
    <t xml:space="preserve">コート紙(177～220gsm)におけるステープル上限枚数(50枚ステープラユニット)
</t>
  </si>
  <si>
    <t xml:space="preserve">50枚ステープラユニット(ステープルカートリッジ)でのコート紙(177～220gsm)におけるステープル上限枚数を調整する。
1Count = 1枚
</t>
  </si>
  <si>
    <t xml:space="preserve">用紙送り長297.0mm以下の用紙に対するセット間ピッチの時間を調整する。
1Count = 1ms
</t>
    <rPh sb="9" eb="10">
      <t>キ</t>
    </rPh>
    <rPh sb="15" eb="17">
      <t>ヨウシ</t>
    </rPh>
    <rPh sb="18" eb="19">
      <t>タイ</t>
    </rPh>
    <rPh sb="24" eb="25">
      <t>カン</t>
    </rPh>
    <rPh sb="29" eb="31">
      <t>ジカン</t>
    </rPh>
    <rPh sb="32" eb="34">
      <t>チョウセイ</t>
    </rPh>
    <rPh sb="38" eb="40">
      <t>カイシ</t>
    </rPh>
    <rPh sb="46" eb="48">
      <t>チョウセイ</t>
    </rPh>
    <phoneticPr fontId="1"/>
  </si>
  <si>
    <t>セット間ピッチ調整値(用紙送り長297.0mm超え)</t>
  </si>
  <si>
    <t xml:space="preserve">用紙送り長297.0mm越える用紙に対するセット間ピッチの時間を調整する。
1Count = 1ms
</t>
    <rPh sb="15" eb="17">
      <t>ヨウシ</t>
    </rPh>
    <rPh sb="19" eb="20">
      <t>ゴ</t>
    </rPh>
    <rPh sb="24" eb="25">
      <t>カン</t>
    </rPh>
    <rPh sb="29" eb="31">
      <t>ジカン</t>
    </rPh>
    <phoneticPr fontId="1"/>
  </si>
  <si>
    <t>FLASH格納LOGのシリアルLOG吐き出し数</t>
  </si>
  <si>
    <t>格納されている最新からいくつのLOGをPowerON時にシリアルLOGに乗せるかの設定　1Count=1個</t>
  </si>
  <si>
    <t>開発用</t>
    <rPh sb="0" eb="3">
      <t>カイハツヨウ</t>
    </rPh>
    <phoneticPr fontId="1"/>
  </si>
  <si>
    <t>シリアルLOGの有効モジュール選択</t>
    <rPh sb="8" eb="10">
      <t>ユウコウ</t>
    </rPh>
    <rPh sb="15" eb="17">
      <t>センタク</t>
    </rPh>
    <phoneticPr fontId="1"/>
  </si>
  <si>
    <t>シリアルLOG有効モジュール（Bitで選択）
0:Default</t>
    <rPh sb="7" eb="9">
      <t>ユウコウ</t>
    </rPh>
    <rPh sb="19" eb="21">
      <t>センタク</t>
    </rPh>
    <phoneticPr fontId="1"/>
  </si>
  <si>
    <t>状態遷移完了待ち : デバック用
Finisher State</t>
    <rPh sb="0" eb="2">
      <t>ジョウタイ</t>
    </rPh>
    <rPh sb="2" eb="4">
      <t>センイ</t>
    </rPh>
    <rPh sb="4" eb="6">
      <t>カンリョウ</t>
    </rPh>
    <rPh sb="6" eb="7">
      <t>マ</t>
    </rPh>
    <rPh sb="15" eb="16">
      <t>ヨウ</t>
    </rPh>
    <phoneticPr fontId="1"/>
  </si>
  <si>
    <t>状態遷移完了待ちデバック用
- 待ちになっている状態</t>
    <rPh sb="0" eb="2">
      <t>ジョウタイ</t>
    </rPh>
    <rPh sb="2" eb="4">
      <t>センイ</t>
    </rPh>
    <rPh sb="4" eb="6">
      <t>カンリョウ</t>
    </rPh>
    <rPh sb="6" eb="7">
      <t>マ</t>
    </rPh>
    <rPh sb="12" eb="13">
      <t>ヨウ</t>
    </rPh>
    <rPh sb="16" eb="17">
      <t>マ</t>
    </rPh>
    <rPh sb="24" eb="26">
      <t>ジョウタイ</t>
    </rPh>
    <phoneticPr fontId="1"/>
  </si>
  <si>
    <t>状態遷移完了待ち : デバック用
遷移待ちモジュール</t>
    <rPh sb="0" eb="2">
      <t>ジョウタイ</t>
    </rPh>
    <rPh sb="2" eb="4">
      <t>センイ</t>
    </rPh>
    <rPh sb="4" eb="6">
      <t>カンリョウ</t>
    </rPh>
    <rPh sb="6" eb="7">
      <t>マ</t>
    </rPh>
    <rPh sb="15" eb="16">
      <t>ヨウ</t>
    </rPh>
    <rPh sb="17" eb="19">
      <t>センイ</t>
    </rPh>
    <rPh sb="19" eb="20">
      <t>マ</t>
    </rPh>
    <phoneticPr fontId="1"/>
  </si>
  <si>
    <t>状態遷移完了待ちデバック用
- 状態遷移待ちモジュール</t>
    <rPh sb="0" eb="2">
      <t>ジョウタイ</t>
    </rPh>
    <rPh sb="2" eb="4">
      <t>センイ</t>
    </rPh>
    <rPh sb="4" eb="6">
      <t>カンリョウ</t>
    </rPh>
    <rPh sb="6" eb="7">
      <t>マ</t>
    </rPh>
    <rPh sb="12" eb="13">
      <t>ヨウ</t>
    </rPh>
    <rPh sb="16" eb="18">
      <t>ジョウタイ</t>
    </rPh>
    <rPh sb="18" eb="20">
      <t>センイ</t>
    </rPh>
    <rPh sb="20" eb="21">
      <t>マ</t>
    </rPh>
    <phoneticPr fontId="1"/>
  </si>
  <si>
    <t>シーケンス完了待ち :  デバック用
実施中のAction</t>
    <rPh sb="5" eb="7">
      <t>カンリョウ</t>
    </rPh>
    <rPh sb="7" eb="8">
      <t>マ</t>
    </rPh>
    <rPh sb="17" eb="18">
      <t>ヨウ</t>
    </rPh>
    <rPh sb="19" eb="22">
      <t>ジッシチュウ</t>
    </rPh>
    <phoneticPr fontId="1"/>
  </si>
  <si>
    <t>シーケンス制御完了待ちデバック用
実行中のAction</t>
    <rPh sb="5" eb="7">
      <t>セイギョ</t>
    </rPh>
    <rPh sb="7" eb="9">
      <t>カンリョウ</t>
    </rPh>
    <rPh sb="9" eb="10">
      <t>マ</t>
    </rPh>
    <rPh sb="15" eb="16">
      <t>ヨウ</t>
    </rPh>
    <rPh sb="17" eb="20">
      <t>ジッコウチュウ</t>
    </rPh>
    <phoneticPr fontId="1"/>
  </si>
  <si>
    <t>Unknown Preparation Time応答理由</t>
    <rPh sb="24" eb="26">
      <t>オウトウ</t>
    </rPh>
    <rPh sb="26" eb="28">
      <t>リユウ</t>
    </rPh>
    <phoneticPr fontId="1"/>
  </si>
  <si>
    <t xml:space="preserve">CDI-Finisher Ready For Next Sheetにて、直近でPreparation Time = Unknownを応答した際の理由を示す。
4Byteデータで、先頭Byteが原因大別を示し、以下の通りである。
1: 搬送用紙管理モジュールコンディション不良
2: デバイスコンディション不良
3: シートイニシャライズ動作時間不定
4: プロセススタート時のシートイニシャライズ動作未未完了
Byte1～3は原因大別毎に異なるため、割愛する。
</t>
    <rPh sb="36" eb="38">
      <t>チョッキン</t>
    </rPh>
    <rPh sb="66" eb="68">
      <t>オウトウ</t>
    </rPh>
    <rPh sb="70" eb="71">
      <t>サイ</t>
    </rPh>
    <rPh sb="72" eb="74">
      <t>リユウ</t>
    </rPh>
    <rPh sb="75" eb="76">
      <t>シメ</t>
    </rPh>
    <rPh sb="90" eb="92">
      <t>セントウ</t>
    </rPh>
    <rPh sb="97" eb="99">
      <t>ゲンイン</t>
    </rPh>
    <rPh sb="99" eb="101">
      <t>タイベツ</t>
    </rPh>
    <rPh sb="102" eb="103">
      <t>シメ</t>
    </rPh>
    <rPh sb="105" eb="107">
      <t>イカ</t>
    </rPh>
    <rPh sb="108" eb="109">
      <t>トオ</t>
    </rPh>
    <rPh sb="118" eb="120">
      <t>ハンソウ</t>
    </rPh>
    <rPh sb="120" eb="122">
      <t>ヨウシ</t>
    </rPh>
    <rPh sb="122" eb="124">
      <t>カンリ</t>
    </rPh>
    <rPh sb="136" eb="138">
      <t>フリョウ</t>
    </rPh>
    <rPh sb="153" eb="155">
      <t>フリョウ</t>
    </rPh>
    <rPh sb="169" eb="171">
      <t>ドウサ</t>
    </rPh>
    <rPh sb="171" eb="173">
      <t>ジカン</t>
    </rPh>
    <rPh sb="173" eb="175">
      <t>フテイ</t>
    </rPh>
    <rPh sb="187" eb="188">
      <t>ジ</t>
    </rPh>
    <rPh sb="215" eb="217">
      <t>ゲンイン</t>
    </rPh>
    <rPh sb="217" eb="219">
      <t>タイベツ</t>
    </rPh>
    <rPh sb="219" eb="220">
      <t>ゴト</t>
    </rPh>
    <rPh sb="221" eb="222">
      <t>コト</t>
    </rPh>
    <rPh sb="227" eb="229">
      <t>カツアイ</t>
    </rPh>
    <phoneticPr fontId="1"/>
  </si>
  <si>
    <t xml:space="preserve">速度(mm/s)
1Count = mm/s
</t>
    <rPh sb="0" eb="2">
      <t>ソクド</t>
    </rPh>
    <phoneticPr fontId="1"/>
  </si>
  <si>
    <t>Transport Solenoid Count（追加反復回数）=（a+b)xC回©</t>
  </si>
  <si>
    <t>ステープル上限枚数(50枚ステープラユニット)</t>
  </si>
  <si>
    <t xml:space="preserve">50枚ステープラユニット(ステープルカートリッジ)でのステープル上限枚数を調整する。
1Count = 1枚
</t>
    <rPh sb="32" eb="34">
      <t>ジョウゲン</t>
    </rPh>
    <rPh sb="37" eb="39">
      <t>チョウセイ</t>
    </rPh>
    <rPh sb="54" eb="55">
      <t>マイ</t>
    </rPh>
    <phoneticPr fontId="1"/>
  </si>
  <si>
    <t>最終オフセット位置</t>
  </si>
  <si>
    <t xml:space="preserve">最終(前回)オフセット位置を保持する。
ソフトウェアの管理情報をそのまま保持する。
0がフロントである以外は記載しない。
</t>
    <rPh sb="0" eb="2">
      <t>サイシュウ</t>
    </rPh>
    <rPh sb="3" eb="5">
      <t>ゼンカイ</t>
    </rPh>
    <rPh sb="11" eb="13">
      <t>イチ</t>
    </rPh>
    <rPh sb="14" eb="16">
      <t>ホジ</t>
    </rPh>
    <rPh sb="28" eb="30">
      <t>カンリ</t>
    </rPh>
    <rPh sb="30" eb="32">
      <t>ジョウホウ</t>
    </rPh>
    <rPh sb="37" eb="39">
      <t>ホジ</t>
    </rPh>
    <rPh sb="52" eb="54">
      <t>イガイ</t>
    </rPh>
    <rPh sb="55" eb="57">
      <t>キサイ</t>
    </rPh>
    <phoneticPr fontId="1"/>
  </si>
  <si>
    <t>ステープルなしコンパイラトレイスタック上限枚数(用紙送り長≦297.0mm)</t>
  </si>
  <si>
    <t xml:space="preserve">用紙送り長が2970mm以下であるUnstaple用紙をStacker Trayのコンパイラトレイに積載する際の上限枚数を示す。本値以上の場合は分割排紙する。
1Count = 1枚(重み付けスタック枚数)
</t>
    <rPh sb="0" eb="2">
      <t>ヨウシ</t>
    </rPh>
    <rPh sb="2" eb="3">
      <t>オク</t>
    </rPh>
    <rPh sb="4" eb="5">
      <t>チョウ</t>
    </rPh>
    <rPh sb="12" eb="14">
      <t>イカ</t>
    </rPh>
    <rPh sb="25" eb="27">
      <t>ヨウシ</t>
    </rPh>
    <rPh sb="50" eb="52">
      <t>セキサイ</t>
    </rPh>
    <rPh sb="54" eb="55">
      <t>サイ</t>
    </rPh>
    <rPh sb="56" eb="58">
      <t>ジョウゲン</t>
    </rPh>
    <rPh sb="58" eb="60">
      <t>マイスウ</t>
    </rPh>
    <rPh sb="61" eb="62">
      <t>シメ</t>
    </rPh>
    <rPh sb="64" eb="65">
      <t>ホン</t>
    </rPh>
    <rPh sb="65" eb="66">
      <t>アタイ</t>
    </rPh>
    <rPh sb="66" eb="68">
      <t>イジョウ</t>
    </rPh>
    <rPh sb="69" eb="71">
      <t>バアイ</t>
    </rPh>
    <rPh sb="72" eb="74">
      <t>ブンカツ</t>
    </rPh>
    <rPh sb="74" eb="76">
      <t>ハイシ</t>
    </rPh>
    <rPh sb="90" eb="91">
      <t>マイ</t>
    </rPh>
    <phoneticPr fontId="1"/>
  </si>
  <si>
    <t>ステープルなしコンパイラトレイスタック上限枚数(用紙送り長＞297.0mm)</t>
  </si>
  <si>
    <t xml:space="preserve">用紙送り長が297.0mm超えであるUnstaple用紙をStacker Trayのコンパイラトレイに積載する際の上限枚数を示す。本値以上の場合は分割排紙する。
1Count = 1枚(重み付けスタック枚数)
</t>
    <rPh sb="13" eb="14">
      <t>コ</t>
    </rPh>
    <rPh sb="93" eb="94">
      <t>オモ</t>
    </rPh>
    <rPh sb="95" eb="96">
      <t>ヅ</t>
    </rPh>
    <rPh sb="101" eb="103">
      <t>マイスウ</t>
    </rPh>
    <phoneticPr fontId="1"/>
  </si>
  <si>
    <t>ノーマルタンピング開始時間調整値(用紙送り長297.0mm以下／普通紙)</t>
  </si>
  <si>
    <t xml:space="preserve">297.0mm以下、紙種が普通紙の用紙に対するノーマルタンピング時のタンピング動作開始タイミングを調整する。
1Count = 1ms
</t>
    <rPh sb="9" eb="10">
      <t>キ</t>
    </rPh>
    <rPh sb="14" eb="17">
      <t>ヨウシオク</t>
    </rPh>
    <rPh sb="18" eb="19">
      <t>チョウ</t>
    </rPh>
    <rPh sb="36" eb="38">
      <t>ヨウシ</t>
    </rPh>
    <rPh sb="39" eb="40">
      <t>タイ</t>
    </rPh>
    <rPh sb="51" eb="52">
      <t>ジ</t>
    </rPh>
    <rPh sb="60" eb="62">
      <t>カイシチョウセイ</t>
    </rPh>
    <phoneticPr fontId="1"/>
  </si>
  <si>
    <t>ノーマルタンピング開始時間調整値(用紙送り長297.0mm超え／普通紙)</t>
  </si>
  <si>
    <t xml:space="preserve">297.0mm越え、紙種が普通紙の用紙に対するノーマルタンピング時のタンピング動作開始タイミングを調整する。
1Count = 1ms
</t>
    <rPh sb="26" eb="27">
      <t>ゴ</t>
    </rPh>
    <phoneticPr fontId="1"/>
  </si>
  <si>
    <t>ノーマルタンピング開始時間調整値(用紙送り長297.0mm以下／普通紙,コート紙以外)</t>
  </si>
  <si>
    <t xml:space="preserve">297.0mm以下、紙種が普通紙、コート紙以外の用紙に対するノーマルタンピング時のタンピング動作開始タイミングを調整する。
1Count = 1ms
</t>
  </si>
  <si>
    <t>ノーマルタンピング開始時間調整値(用紙送り長297.0mm超え／普通紙,コート紙以外)</t>
  </si>
  <si>
    <t xml:space="preserve">297.0mm越え、紙種が普通紙、コート紙以外の用紙に対するノーマルタンピング時のタンピング動作開始タイミングを調整する。
1Count = 1ms
</t>
  </si>
  <si>
    <t>ノーマルタンピング開始時間調整値(用紙送り長297.0mm以下／コート紙)</t>
  </si>
  <si>
    <t xml:space="preserve">297.0mm以下、紙種がコート紙の用紙に対するノーマルタンピング時のタンピング動作開始タイミングを調整する。
1Count = 1ms
</t>
  </si>
  <si>
    <t>ノーマルタンピング開始時間調整値(用紙送り長297.0mm超え／コート紙)</t>
  </si>
  <si>
    <t xml:space="preserve">297.0mm越え、紙種がコート紙の用紙に対するノーマルタンピング時のタンピング動作開始タイミングを調整する。
1Count = 1ms
</t>
  </si>
  <si>
    <t>セットラストタンピング開始時間調整値(用紙送り長297.0mm以下／普通紙)</t>
  </si>
  <si>
    <t xml:space="preserve">用紙送り長297.0mm以下、紙種が普通紙の用紙に対するセットラストタンピング時のタンピング動作開始タイミングを調整する。
1Count = 1ms
</t>
    <rPh sb="9" eb="10">
      <t>キ</t>
    </rPh>
    <rPh sb="14" eb="17">
      <t>ヨウシオク</t>
    </rPh>
    <rPh sb="18" eb="19">
      <t>チョウ</t>
    </rPh>
    <rPh sb="36" eb="38">
      <t>ヨウシ</t>
    </rPh>
    <rPh sb="39" eb="40">
      <t>タイ</t>
    </rPh>
    <rPh sb="53" eb="54">
      <t>ジ</t>
    </rPh>
    <rPh sb="62" eb="64">
      <t>カイシ</t>
    </rPh>
    <rPh sb="70" eb="72">
      <t>チョウセイ</t>
    </rPh>
    <phoneticPr fontId="1"/>
  </si>
  <si>
    <t>セットラストタンピング開始時間調整値(用紙送り長297.0mm超え／普通紙)</t>
  </si>
  <si>
    <t xml:space="preserve">用紙送り長297.0mm越え、紙種が普通紙の用紙に対するセットラストタンピング時のタンピング動作開始タイミングを調整する。
1Count = 1ms
</t>
    <rPh sb="26" eb="27">
      <t>ゴ</t>
    </rPh>
    <phoneticPr fontId="1"/>
  </si>
  <si>
    <t>セットラストタンピング開始時間調整値(用紙送り長297.0mm以下／普通紙,コート紙以外)</t>
  </si>
  <si>
    <t xml:space="preserve">用紙送り長297.0mm以下、紙種が普通紙、コート紙以外の用紙に対するセットラスストタンピング時のタンピング動作開始タイミングを調整する。
1Count = 1ms
</t>
  </si>
  <si>
    <t>セットラストタンピング開始時間調整値(用紙送り長297.0mm超え／普通紙,コート紙以外)</t>
  </si>
  <si>
    <t xml:space="preserve">用紙送り長297.0mm越え、紙種が普通紙、コート紙以外の用紙に対するセットラストタンピング時のタンピング動作開始タイミングを調整する。
1Count = 1ms
</t>
    <rPh sb="20" eb="21">
      <t>カミ</t>
    </rPh>
    <rPh sb="25" eb="26">
      <t>カミ</t>
    </rPh>
    <rPh sb="26" eb="28">
      <t>イガイ</t>
    </rPh>
    <phoneticPr fontId="1"/>
  </si>
  <si>
    <t>セットラストタンピング開始時間調整値(用紙送り長297.0mm以下／コート紙)</t>
  </si>
  <si>
    <t xml:space="preserve">用紙送り長297.0mm以下、紙種がコート紙の用紙に対するセットラスストタンピング時のタンピング動作開始タイミングを調整する。
1Count = 1ms
</t>
  </si>
  <si>
    <t>セットラストタンピング開始時間調整値(用紙送り長297.0mm超え／,コート紙)</t>
  </si>
  <si>
    <t xml:space="preserve">用紙送り長297.0mm越え、紙種がコート紙の用紙に対するセットラストタンピング時のタンピング動作開始タイミングを調整する。
1Count = 1ms
</t>
    <rPh sb="21" eb="22">
      <t>カミ</t>
    </rPh>
    <phoneticPr fontId="1"/>
  </si>
  <si>
    <t>セットラストタンピング動作揃え制御繰り返し回数(用紙長≦297.0mm)</t>
  </si>
  <si>
    <t xml:space="preserve">用紙送り長297.0mm以下の用紙に対するセットラストタンピング時の揃え制御繰り返し回数を調整する。
1Count =1回
</t>
    <rPh sb="32" eb="33">
      <t>ソロ</t>
    </rPh>
    <rPh sb="34" eb="36">
      <t>セイギョ</t>
    </rPh>
    <rPh sb="36" eb="37">
      <t>ク</t>
    </rPh>
    <rPh sb="38" eb="39">
      <t>カエ</t>
    </rPh>
    <rPh sb="40" eb="42">
      <t>カイスウ</t>
    </rPh>
    <rPh sb="43" eb="45">
      <t>チョウセイ</t>
    </rPh>
    <phoneticPr fontId="1"/>
  </si>
  <si>
    <t>セットラストタンピング動作揃え制御繰り返し回数(用紙長＞297.0mm)</t>
  </si>
  <si>
    <t xml:space="preserve">用紙送り長297.0mm越えの用紙に対するセットラストタンピング時の揃え制御繰り返し回数を調整する。
1Count =1回
</t>
    <rPh sb="12" eb="13">
      <t>ゴ</t>
    </rPh>
    <phoneticPr fontId="1"/>
  </si>
  <si>
    <t>動作方向が外方向のタンパーリターン動作開始時間の補正</t>
    <rPh sb="0" eb="2">
      <t>ドウサ</t>
    </rPh>
    <rPh sb="2" eb="4">
      <t>ホウコウ</t>
    </rPh>
    <rPh sb="5" eb="6">
      <t>ソト</t>
    </rPh>
    <rPh sb="6" eb="8">
      <t>ホウコウ</t>
    </rPh>
    <rPh sb="17" eb="19">
      <t>ドウサ</t>
    </rPh>
    <rPh sb="19" eb="21">
      <t>カイシ</t>
    </rPh>
    <rPh sb="21" eb="23">
      <t>ジカン</t>
    </rPh>
    <rPh sb="24" eb="26">
      <t>ホセイ</t>
    </rPh>
    <phoneticPr fontId="1"/>
  </si>
  <si>
    <t>時間(ms)
1Count=10ms</t>
    <rPh sb="0" eb="2">
      <t>ジカン</t>
    </rPh>
    <phoneticPr fontId="1"/>
  </si>
  <si>
    <t>Un Staple時の用紙揃え動作で、各タンパーの押し込み移動量を調整する</t>
    <rPh sb="9" eb="10">
      <t>ジ</t>
    </rPh>
    <rPh sb="11" eb="13">
      <t>ヨウシ</t>
    </rPh>
    <rPh sb="13" eb="14">
      <t>ソロ</t>
    </rPh>
    <rPh sb="15" eb="17">
      <t>ドウサ</t>
    </rPh>
    <rPh sb="19" eb="20">
      <t>カク</t>
    </rPh>
    <rPh sb="25" eb="26">
      <t>オ</t>
    </rPh>
    <rPh sb="27" eb="28">
      <t>コ</t>
    </rPh>
    <rPh sb="29" eb="31">
      <t>イドウ</t>
    </rPh>
    <rPh sb="31" eb="32">
      <t>リョウ</t>
    </rPh>
    <rPh sb="33" eb="35">
      <t>チョウセイ</t>
    </rPh>
    <phoneticPr fontId="1"/>
  </si>
  <si>
    <t>TAMPER_R_STPLE_ADJST</t>
  </si>
  <si>
    <t>Right Staple時の用紙揃え動作で、Leftタンパーの押し込み移動量を調整する。</t>
    <rPh sb="12" eb="13">
      <t>ジ</t>
    </rPh>
    <rPh sb="14" eb="16">
      <t>ヨウシ</t>
    </rPh>
    <rPh sb="16" eb="17">
      <t>ソロ</t>
    </rPh>
    <rPh sb="18" eb="20">
      <t>ドウサ</t>
    </rPh>
    <rPh sb="31" eb="32">
      <t>オ</t>
    </rPh>
    <rPh sb="33" eb="34">
      <t>コ</t>
    </rPh>
    <rPh sb="35" eb="37">
      <t>イドウ</t>
    </rPh>
    <rPh sb="37" eb="38">
      <t>リョウ</t>
    </rPh>
    <rPh sb="39" eb="41">
      <t>チョウセイ</t>
    </rPh>
    <phoneticPr fontId="1"/>
  </si>
  <si>
    <t>Staple回数</t>
  </si>
  <si>
    <t>Stapler MotorのPWM Low時間設定値(1段目・2～5枚)</t>
  </si>
  <si>
    <t>Stapler生産性切り替え</t>
  </si>
  <si>
    <t>Staplerの生産性を静音Modに動作している際に、Staplerの生産性を400msから310msに変更して90ms改善する。
0; High Speed
1: Low Speed</t>
    <rPh sb="8" eb="11">
      <t>セイサンセイ</t>
    </rPh>
    <rPh sb="12" eb="13">
      <t>セイ</t>
    </rPh>
    <rPh sb="13" eb="14">
      <t>オン</t>
    </rPh>
    <rPh sb="35" eb="38">
      <t>セイサンセイ</t>
    </rPh>
    <rPh sb="52" eb="54">
      <t>ヘンコウ</t>
    </rPh>
    <phoneticPr fontId="1"/>
  </si>
  <si>
    <t>コート紙のステープル実施有無を切り替える
0; ステープル可能
1: ステープル不可能</t>
    <rPh sb="15" eb="16">
      <t>キ</t>
    </rPh>
    <rPh sb="17" eb="18">
      <t>カ</t>
    </rPh>
    <phoneticPr fontId="1"/>
  </si>
  <si>
    <t>SS</t>
  </si>
  <si>
    <t>FINISHER_MAJOR_VERSION</t>
  </si>
  <si>
    <t>FINISHER_MINOR_VERSION</t>
  </si>
  <si>
    <t>WAITING_MODULE_TRANSITION_STATE</t>
  </si>
  <si>
    <t>CAUSE_RESPONSE_UNKNOWN_PREPARATION_TIME</t>
  </si>
  <si>
    <t>TRANSPORT_SOLENOID_PULL_TIME_B</t>
  </si>
  <si>
    <t>TRANSPORT_SOLENOID_COUNT_C</t>
  </si>
  <si>
    <t>NUM_STAPLE_SET</t>
  </si>
  <si>
    <t>SHEET_WIDTH_LAST_EJECTED_SHEET</t>
  </si>
  <si>
    <t>SHEET_LENGTH_LAST_EJECTED_SHEET</t>
  </si>
  <si>
    <t>SHEET_WIDTH_MAXIMUM_SIZE_SHEET</t>
  </si>
  <si>
    <t>STACK_PAPER_LIMIT</t>
  </si>
  <si>
    <t>S_Full_STACK_POS_PULSE_LIMIT</t>
  </si>
  <si>
    <t>UN_STAPLE_STACKER_DOWN_TIMING_AT_EJECT</t>
  </si>
  <si>
    <t>CORNER_STAPLE_STACKER_DOWN_TIMING_AT_EJECT</t>
  </si>
  <si>
    <t>S_CORNER_STAPLE_STACK_SET_LIMIT</t>
  </si>
  <si>
    <t>L_CORNER_STAPLE_STACK_SET_LIMIT</t>
  </si>
  <si>
    <t>NUM_SET_STAPLE_POSITION</t>
  </si>
  <si>
    <t>TAMPING_START_SETTING1</t>
  </si>
  <si>
    <t>TAMPING_START_SETTING2</t>
  </si>
  <si>
    <t>TAMPING_START_SETTING3</t>
  </si>
  <si>
    <t>TAMPING_START_SETTING4</t>
  </si>
  <si>
    <t>TAMPING_START_SETTING5</t>
  </si>
  <si>
    <t>TAMPING_START_SETTING6</t>
  </si>
  <si>
    <t>SETLAST_TAMPING_START_SETTING2</t>
  </si>
  <si>
    <t>SETLAST_TAMPING_START_SETTING3</t>
  </si>
  <si>
    <t>SETLAST_TAMPING_START_SETTING4</t>
  </si>
  <si>
    <t>SETLAST_TAMPING_START_SETTING5</t>
  </si>
  <si>
    <t>SETLAST_TAMPING_START_SETTING6</t>
  </si>
  <si>
    <t>SETLAST_TAMPING_NUM1</t>
  </si>
  <si>
    <t>SETLAST_TAMPING_NUM2</t>
  </si>
  <si>
    <t>STAPLER_MOT_PWM_LOW_SETTING1_1</t>
  </si>
  <si>
    <t>STAPLE_COUNT_DETECT_NEAR_LOW_STAPLE</t>
  </si>
  <si>
    <t>DETECT_NEAR_LOW_STAPLE_THRESHOLD</t>
  </si>
  <si>
    <t>SUB_PADDLE_START_TIME_8_1</t>
  </si>
  <si>
    <t>SUB_PADDLE_START_TIME_8_2</t>
  </si>
  <si>
    <t>イジェクト位置への移動におけるStacker MOT下降パルス数[H1](UN-STAPLE)</t>
    <rPh sb="5" eb="7">
      <t>イチ</t>
    </rPh>
    <rPh sb="9" eb="11">
      <t>イドウ</t>
    </rPh>
    <phoneticPr fontId="1"/>
  </si>
  <si>
    <t>イジェクト位置への移動におけるStacker MOT下降パルス数[H2](UN-STAPLE)</t>
    <rPh sb="5" eb="7">
      <t>イチ</t>
    </rPh>
    <rPh sb="9" eb="11">
      <t>イドウ</t>
    </rPh>
    <phoneticPr fontId="1"/>
  </si>
  <si>
    <t>イジェクト位置への移動動作におけるStacker MOT下降追加パルス数
(UN-STAPLE収容不良対策モード閾値(N2)以下に適用)
1Count = 1[Pulse]</t>
    <rPh sb="5" eb="7">
      <t>イチ</t>
    </rPh>
    <rPh sb="9" eb="11">
      <t>イドウ</t>
    </rPh>
    <rPh sb="11" eb="13">
      <t>ドウサ</t>
    </rPh>
    <rPh sb="28" eb="30">
      <t>カコウ</t>
    </rPh>
    <rPh sb="30" eb="32">
      <t>ツイカ</t>
    </rPh>
    <rPh sb="35" eb="36">
      <t>スウ</t>
    </rPh>
    <rPh sb="62" eb="64">
      <t>イカ</t>
    </rPh>
    <phoneticPr fontId="1"/>
  </si>
  <si>
    <t>&lt;&lt; Global A4-Finisher &gt;&gt;</t>
    <phoneticPr fontId="1"/>
  </si>
  <si>
    <t>from V00.00.00</t>
    <phoneticPr fontId="1"/>
  </si>
  <si>
    <t>V00.00.00</t>
    <phoneticPr fontId="3"/>
  </si>
  <si>
    <t>Chain
No</t>
    <phoneticPr fontId="1"/>
  </si>
  <si>
    <t xml:space="preserve">イジェクト動作におけるStacker Tray下降開始タイミング[T1](UN-STAPLE)
</t>
    <rPh sb="5" eb="7">
      <t>ドウサ</t>
    </rPh>
    <rPh sb="23" eb="25">
      <t>カコウ</t>
    </rPh>
    <rPh sb="25" eb="27">
      <t>カイシオノゾ</t>
    </rPh>
    <phoneticPr fontId="1"/>
  </si>
  <si>
    <t xml:space="preserve">イジェクト動作におけるStacker Tray下降開始タイミング[T1](CORNER-STAPLE)
</t>
    <rPh sb="5" eb="7">
      <t>ドウサ</t>
    </rPh>
    <rPh sb="23" eb="25">
      <t>カコウ</t>
    </rPh>
    <rPh sb="25" eb="27">
      <t>カイシオノゾ</t>
    </rPh>
    <phoneticPr fontId="1"/>
  </si>
  <si>
    <t>サブパドル用紙搬入 時の動作開始時間(T6)
(普通紙)</t>
    <rPh sb="0" eb="20">
      <t>フツウシイガイ</t>
    </rPh>
    <phoneticPr fontId="1"/>
  </si>
  <si>
    <t>サブパドル用紙搬入 時の動作回数(P)
(用紙長さ297.0mm超過, 普通紙)</t>
  </si>
  <si>
    <t>サブパドル用紙搬入 時の動作回数(P)
(用紙長さ297.0mm超過, 普通紙,コート紙以外)</t>
  </si>
  <si>
    <t>サブパドル用紙搬入 時の動作回数(P)
(用紙長さ297.0mm超過, コート紙)</t>
  </si>
  <si>
    <t>動作方向が外方向のタンパーサイズポジショニング動作開始時間の待ち補正(UnStaple)</t>
    <rPh sb="0" eb="2">
      <t>ドウサ</t>
    </rPh>
    <rPh sb="2" eb="4">
      <t>ホウコウ</t>
    </rPh>
    <rPh sb="5" eb="6">
      <t>ソト</t>
    </rPh>
    <rPh sb="6" eb="8">
      <t>ホウコウ</t>
    </rPh>
    <rPh sb="23" eb="25">
      <t>ドウサ</t>
    </rPh>
    <rPh sb="25" eb="27">
      <t>カイシ</t>
    </rPh>
    <rPh sb="27" eb="29">
      <t>ジカン</t>
    </rPh>
    <rPh sb="30" eb="31">
      <t>マ</t>
    </rPh>
    <rPh sb="32" eb="34">
      <t>ホセイ</t>
    </rPh>
    <phoneticPr fontId="1"/>
  </si>
  <si>
    <t>動作方向が外方向のタンパーサイズポジショニング動作開始時間の待ち補正(Staple)</t>
    <rPh sb="0" eb="2">
      <t>ドウサ</t>
    </rPh>
    <rPh sb="2" eb="4">
      <t>ホウコウ</t>
    </rPh>
    <rPh sb="5" eb="6">
      <t>ソト</t>
    </rPh>
    <rPh sb="6" eb="8">
      <t>ホウコウ</t>
    </rPh>
    <rPh sb="23" eb="25">
      <t>ドウサ</t>
    </rPh>
    <rPh sb="25" eb="27">
      <t>カイシ</t>
    </rPh>
    <rPh sb="27" eb="29">
      <t>ジカン</t>
    </rPh>
    <rPh sb="30" eb="31">
      <t>マ</t>
    </rPh>
    <rPh sb="32" eb="34">
      <t>ホセイ</t>
    </rPh>
    <phoneticPr fontId="1"/>
  </si>
  <si>
    <t>タンパーオフセット動作における駆動方向と移動量</t>
    <rPh sb="9" eb="11">
      <t>ドウサ</t>
    </rPh>
    <rPh sb="15" eb="17">
      <t>クドウ</t>
    </rPh>
    <rPh sb="17" eb="19">
      <t>ホウコウ</t>
    </rPh>
    <rPh sb="20" eb="22">
      <t>イドウ</t>
    </rPh>
    <rPh sb="22" eb="23">
      <t>リョウ</t>
    </rPh>
    <phoneticPr fontId="1"/>
  </si>
  <si>
    <t>出力パルス数
1Count = 1pulse</t>
    <rPh sb="0" eb="2">
      <t>シュツリョク</t>
    </rPh>
    <rPh sb="5" eb="6">
      <t>スウ</t>
    </rPh>
    <phoneticPr fontId="1"/>
  </si>
  <si>
    <t>STACKER_MOT_LIFT_DOWN_COUNT_H1_3
未使用</t>
    <rPh sb="34" eb="37">
      <t>ミシヨウ</t>
    </rPh>
    <phoneticPr fontId="1"/>
  </si>
  <si>
    <t>サブパドルがN枚以上時、回転数の低減回数
(P2-厚紙)　</t>
    <rPh sb="7" eb="8">
      <t>マイ</t>
    </rPh>
    <rPh sb="8" eb="10">
      <t>イジョウ</t>
    </rPh>
    <rPh sb="10" eb="11">
      <t>ジ</t>
    </rPh>
    <rPh sb="16" eb="18">
      <t>テイゲン</t>
    </rPh>
    <rPh sb="18" eb="20">
      <t>カイスウ</t>
    </rPh>
    <rPh sb="25" eb="27">
      <t>アツガミ</t>
    </rPh>
    <phoneticPr fontId="1"/>
  </si>
  <si>
    <t>サブパドル回転数の変動セット枚数(N)
(厚紙、コート紙以外-用紙幅200mm未満)</t>
    <rPh sb="31" eb="33">
      <t>ヨウシ</t>
    </rPh>
    <rPh sb="33" eb="34">
      <t>ハバ</t>
    </rPh>
    <rPh sb="39" eb="41">
      <t>ミマン</t>
    </rPh>
    <phoneticPr fontId="1"/>
  </si>
  <si>
    <t>Staple時のセットラストタンピングのTamper用紙揃え押し込み量追加の調整</t>
    <rPh sb="6" eb="7">
      <t>ジ</t>
    </rPh>
    <rPh sb="26" eb="28">
      <t>ヨウシ</t>
    </rPh>
    <rPh sb="28" eb="29">
      <t>ソロ</t>
    </rPh>
    <rPh sb="30" eb="31">
      <t>オ</t>
    </rPh>
    <rPh sb="32" eb="33">
      <t>コ</t>
    </rPh>
    <rPh sb="34" eb="35">
      <t>リョウ</t>
    </rPh>
    <rPh sb="35" eb="37">
      <t>ツイカ</t>
    </rPh>
    <rPh sb="38" eb="40">
      <t>チョウセイ</t>
    </rPh>
    <phoneticPr fontId="1"/>
  </si>
  <si>
    <t>Staple時、セットラストタンピング動作押し込み量を調整する。
1count=1pulse</t>
    <rPh sb="6" eb="7">
      <t>ジ</t>
    </rPh>
    <phoneticPr fontId="1"/>
  </si>
  <si>
    <t>サブパドル回転数の変動セット枚数(N)
(厚紙、コート紙以外-用紙幅200mm以上)</t>
    <rPh sb="39" eb="41">
      <t>イジョウ</t>
    </rPh>
    <phoneticPr fontId="1"/>
  </si>
  <si>
    <t>セット間ピッチ調整値(用紙送り長297.0mm未満)</t>
    <rPh sb="23" eb="25">
      <t>ミマン</t>
    </rPh>
    <phoneticPr fontId="1"/>
  </si>
  <si>
    <t xml:space="preserve">用紙送り長297.0mmの用紙に対するセット間ピッチの時間を調整する。
1Count = 1ms
</t>
    <rPh sb="9" eb="10">
      <t>キ</t>
    </rPh>
    <rPh sb="13" eb="15">
      <t>ヨウシ</t>
    </rPh>
    <rPh sb="16" eb="17">
      <t>タイ</t>
    </rPh>
    <rPh sb="22" eb="23">
      <t>カン</t>
    </rPh>
    <rPh sb="27" eb="29">
      <t>ジカン</t>
    </rPh>
    <rPh sb="30" eb="32">
      <t>チョウセイ</t>
    </rPh>
    <rPh sb="36" eb="38">
      <t>カイシ</t>
    </rPh>
    <rPh sb="44" eb="46">
      <t>チョウセイ</t>
    </rPh>
    <phoneticPr fontId="1"/>
  </si>
  <si>
    <t>排出時の搬送速度(V3)：FINISHER_SPEED(763-1:1)の時(DiagMidSpeed)</t>
    <rPh sb="7" eb="8">
      <t>キセイギョテイシジカンミマンノゾジヨウシ</t>
    </rPh>
    <rPh sb="37" eb="38">
      <t>トキ</t>
    </rPh>
    <phoneticPr fontId="1"/>
  </si>
  <si>
    <t>Link
No</t>
    <phoneticPr fontId="1"/>
  </si>
  <si>
    <t>NVM名称</t>
    <phoneticPr fontId="1"/>
  </si>
  <si>
    <t>CE
公開</t>
    <phoneticPr fontId="1"/>
  </si>
  <si>
    <t>リサイクル
情報</t>
    <phoneticPr fontId="1"/>
  </si>
  <si>
    <t>NR
データ</t>
    <phoneticPr fontId="1"/>
  </si>
  <si>
    <t>NVM変数名</t>
    <phoneticPr fontId="1"/>
  </si>
  <si>
    <t>Ram Address</t>
    <phoneticPr fontId="1"/>
  </si>
  <si>
    <t>SubCPU Ram
Address</t>
    <phoneticPr fontId="1"/>
  </si>
  <si>
    <t>FX</t>
    <phoneticPr fontId="1"/>
  </si>
  <si>
    <t>XC</t>
    <phoneticPr fontId="1"/>
  </si>
  <si>
    <t>AP</t>
    <phoneticPr fontId="1"/>
  </si>
  <si>
    <t>XE</t>
    <phoneticPr fontId="1"/>
  </si>
  <si>
    <t>SA</t>
    <phoneticPr fontId="1"/>
  </si>
  <si>
    <t>FINISHER_SPEED</t>
    <phoneticPr fontId="1"/>
  </si>
  <si>
    <t>NVMID_FINISHER_SPEED</t>
    <phoneticPr fontId="1"/>
  </si>
  <si>
    <t>NVMID_FINISHER_MAJOR_VERSION</t>
    <phoneticPr fontId="1"/>
  </si>
  <si>
    <t>NVMID_FINISHER_MINOR_VERSION</t>
    <phoneticPr fontId="1"/>
  </si>
  <si>
    <t>NVMID_FINISHER_PATCH_VERSION</t>
    <phoneticPr fontId="1"/>
  </si>
  <si>
    <t>NVMID_VERSION_DOWN_INIT_ENABLE</t>
    <phoneticPr fontId="1"/>
  </si>
  <si>
    <t>IOT_EXIT_SENSOR_ACTIVE_ADJUST</t>
    <phoneticPr fontId="1"/>
  </si>
  <si>
    <t>NVMID_IOT_EXIT_SENSOR_ACTIVE_ADJUST</t>
    <phoneticPr fontId="1"/>
  </si>
  <si>
    <t>MAX_SHEET_UNCOAT_80_STAPLE_50</t>
    <phoneticPr fontId="1"/>
  </si>
  <si>
    <t>NVMID_MAX_SHEET_UNCOAT_80_STAPLE_50</t>
    <phoneticPr fontId="1"/>
  </si>
  <si>
    <t>MAX_SHEET_UNCOAT_90_STAPLE_50</t>
    <phoneticPr fontId="1"/>
  </si>
  <si>
    <t>NVMID_MAX_SHEET_UNCOAT_90_STAPLE_50</t>
    <phoneticPr fontId="1"/>
  </si>
  <si>
    <t>MAX_SHEET_UNCOAT_105_STAPLE_50</t>
    <phoneticPr fontId="1"/>
  </si>
  <si>
    <t>NVMID_MAX_SHEET_UNCOAT_105_STAPLE_50</t>
    <phoneticPr fontId="1"/>
  </si>
  <si>
    <t>MAX_SHEET_UNCOAT_128_STAPLE_50</t>
    <phoneticPr fontId="1"/>
  </si>
  <si>
    <t>NVMID_MAX_SHEET_UNCOAT_128_STAPLE_50</t>
    <phoneticPr fontId="1"/>
  </si>
  <si>
    <t>MAX_SHEET_UNCOAT_150_STAPLE_50</t>
    <phoneticPr fontId="1"/>
  </si>
  <si>
    <t>NVMID_MAX_SHEET_UNCOAT_150_STAPLE_50</t>
    <phoneticPr fontId="1"/>
  </si>
  <si>
    <t>MAX_SHEET_UNCOAT_176_STAPLE_50</t>
    <phoneticPr fontId="1"/>
  </si>
  <si>
    <t>NVMID_MAX_SHEET_UNCOAT_176_STAPLE_50</t>
    <phoneticPr fontId="1"/>
  </si>
  <si>
    <t>MAX_SHEET_UNCOAT_220_STAPLE_50</t>
    <phoneticPr fontId="1"/>
  </si>
  <si>
    <t>NVMID_MAX_SHEET_UNCOAT_220_STAPLE_50</t>
    <phoneticPr fontId="1"/>
  </si>
  <si>
    <t>MAX_SHEET_COAT_128_STAPLE_50</t>
    <phoneticPr fontId="1"/>
  </si>
  <si>
    <t>NVMID_MAX_SHEET_COAT_128_STAPLE_50</t>
    <phoneticPr fontId="1"/>
  </si>
  <si>
    <t>MAX_SHEET_COAT_150_STAPLE_50</t>
    <phoneticPr fontId="1"/>
  </si>
  <si>
    <t>NVMID_MAX_SHEET_COAT_150_STAPLE_50</t>
    <phoneticPr fontId="1"/>
  </si>
  <si>
    <t>MAX_SHEET_COAT_176_STAPLE_50</t>
    <phoneticPr fontId="1"/>
  </si>
  <si>
    <t>NVMID_MAX_SHEET_COAT_176_STAPLE_50</t>
    <phoneticPr fontId="1"/>
  </si>
  <si>
    <t>MAX_SHEET_COAT_220_STAPLE_50</t>
    <phoneticPr fontId="1"/>
  </si>
  <si>
    <t>NVMID_MAX_SHEET_COAT_220_STAPLE_50</t>
    <phoneticPr fontId="1"/>
  </si>
  <si>
    <t>SET_PITCH_SETTING1</t>
    <phoneticPr fontId="1"/>
  </si>
  <si>
    <t>NVMID_SET_PITCH_SETTING1</t>
    <phoneticPr fontId="1"/>
  </si>
  <si>
    <t>NVMID_SET_PITCH_SETTING2</t>
    <phoneticPr fontId="1"/>
  </si>
  <si>
    <t>NVMID_READ_FLASHDATA_LOG_NUM</t>
    <phoneticPr fontId="1"/>
  </si>
  <si>
    <t>SERIAL_LOG_SELECT</t>
    <phoneticPr fontId="1"/>
  </si>
  <si>
    <t>NVMID_SERIAL_LOG_SELECT</t>
    <phoneticPr fontId="1"/>
  </si>
  <si>
    <t>TRANSITION_STATE</t>
    <phoneticPr fontId="1"/>
  </si>
  <si>
    <t>NVMID_TRANSITION_STATE</t>
    <phoneticPr fontId="1"/>
  </si>
  <si>
    <t>NVMID_WAITING_MODULE_TRANSITION_STATE</t>
    <phoneticPr fontId="1"/>
  </si>
  <si>
    <t>ACTION_SEQUENCE_CONTROL</t>
    <phoneticPr fontId="1"/>
  </si>
  <si>
    <t>NVMID_ACTION_SEQUENCE_CONTROL</t>
    <phoneticPr fontId="1"/>
  </si>
  <si>
    <t>NVMID_CAUSE_RESPONSE_UNKNOWN_PREPARATION_TIME</t>
    <phoneticPr fontId="1"/>
  </si>
  <si>
    <t>排出時の減速速度(V1);コート紙</t>
    <rPh sb="7" eb="8">
      <t>キセイギョテイシジカンミマンノゾジヨウシ</t>
    </rPh>
    <phoneticPr fontId="1"/>
  </si>
  <si>
    <t>TRANSPORT_MOT_SPEED_V1</t>
    <phoneticPr fontId="1"/>
  </si>
  <si>
    <t>NVMID_TRANSPORT_MOT_SPEED_V1</t>
    <phoneticPr fontId="1"/>
  </si>
  <si>
    <t>排出時の減速速度(V2): コート紙以外(DiagLowSpeed)</t>
    <rPh sb="7" eb="8">
      <t>キセイギョテイシジカンミマンノゾジヨウシ</t>
    </rPh>
    <phoneticPr fontId="1"/>
  </si>
  <si>
    <t>TRANSPORT_MOT_SPEED_V2</t>
    <phoneticPr fontId="1"/>
  </si>
  <si>
    <t>NVMID_TRANSPORT_MOT_SPEED_V2</t>
    <phoneticPr fontId="1"/>
  </si>
  <si>
    <t>TRANSPORT_SOLENOID_PUSH_TIME_A</t>
    <phoneticPr fontId="1"/>
  </si>
  <si>
    <t>NVMID_TRANSPORT_SOLENOID_PUSH_TIME_A</t>
    <phoneticPr fontId="1"/>
  </si>
  <si>
    <t>Transport Solenoid Pull時間(b)</t>
    <phoneticPr fontId="1"/>
  </si>
  <si>
    <t>NVMID_TRANSPORT_SOLENOID_PULL_TIME_B</t>
    <phoneticPr fontId="1"/>
  </si>
  <si>
    <t>NVMID_TRANSPORT_SOLENOID_COUNT_C</t>
    <phoneticPr fontId="1"/>
  </si>
  <si>
    <t>NVMID_NUM_STAPLE_SET</t>
    <phoneticPr fontId="1"/>
  </si>
  <si>
    <t>NVMID_SHEET_WIDTH_LAST_EJECTED_SHEET</t>
    <phoneticPr fontId="1"/>
  </si>
  <si>
    <t>NVMID_SHEET_LENGTH_LAST_EJECTED_SHEET</t>
    <phoneticPr fontId="1"/>
  </si>
  <si>
    <t>NVMID_SHEET_WIDTH_MAXIMUM_SIZE_SHEET</t>
    <phoneticPr fontId="1"/>
  </si>
  <si>
    <t>SHEET_LENGTH_MAXIMUM_SIZE_SHEET</t>
    <phoneticPr fontId="1"/>
  </si>
  <si>
    <t>NVMID_SHEET_LENGTH_MAXIMUM_SIZE_SHEET</t>
    <phoneticPr fontId="1"/>
  </si>
  <si>
    <t>NVMID_MIX_STACK</t>
    <phoneticPr fontId="1"/>
  </si>
  <si>
    <t>NVMID_STACK_PAPER_LIMIT</t>
    <phoneticPr fontId="1"/>
  </si>
  <si>
    <t>STACKER_MOT_UP_COUNT</t>
    <phoneticPr fontId="1"/>
  </si>
  <si>
    <t>NVMID_STACKER_MOT_UP_COUNT</t>
    <phoneticPr fontId="1"/>
  </si>
  <si>
    <t>NVMID_STACKER_MOT_DOWN_COUNT</t>
    <phoneticPr fontId="1"/>
  </si>
  <si>
    <t>NVMID_ELEVATOR_MOT_PULSE_COUNT</t>
    <phoneticPr fontId="1"/>
  </si>
  <si>
    <t>NVMID_LOW_PULSE_LIMIT</t>
    <phoneticPr fontId="1"/>
  </si>
  <si>
    <t>NVMID_MIX_STACK_ENABLE</t>
    <phoneticPr fontId="1"/>
  </si>
  <si>
    <t>NVMID_FULL_STACK_OFF_COUNT</t>
    <phoneticPr fontId="1"/>
  </si>
  <si>
    <t>NVMID_MIX_FULL_STACK_POS_PULSE_LIMIT</t>
    <phoneticPr fontId="1"/>
  </si>
  <si>
    <t>NVMID_L_Full_STACK_POS_PULSE_LIMIT</t>
    <phoneticPr fontId="1"/>
  </si>
  <si>
    <t>NVMID_S_Full_STACK_POS_PULSE_LIMIT</t>
    <phoneticPr fontId="1"/>
  </si>
  <si>
    <t>NVMID_FULL_STACK_POSITION1</t>
    <phoneticPr fontId="1"/>
  </si>
  <si>
    <t>NVMID_FULL_STACK_POSITION2</t>
    <phoneticPr fontId="1"/>
  </si>
  <si>
    <t>NVMID_CORNER_STAPLE_COUNT_N1</t>
    <phoneticPr fontId="1"/>
  </si>
  <si>
    <t>NVMID_CORNER_STAPLE_MODE_COUNT_N2</t>
    <phoneticPr fontId="1"/>
  </si>
  <si>
    <t>イジェクト動作におけるStacker Tray下降開始タイミング(T1)</t>
    <phoneticPr fontId="1"/>
  </si>
  <si>
    <t>NVMID_STACKER_TRAY_DOWN_UN_STAPLE_TIMMING_T1</t>
    <phoneticPr fontId="1"/>
  </si>
  <si>
    <t>COMPILE_POSITION_H3</t>
    <phoneticPr fontId="1"/>
  </si>
  <si>
    <t xml:space="preserve">1Count = 10Pulse
</t>
    <phoneticPr fontId="1"/>
  </si>
  <si>
    <t>NVMID_COMPILE_POSITION_H3</t>
    <phoneticPr fontId="1"/>
  </si>
  <si>
    <t>NVMID_STACKER_MOT_LIFT_UP_COUNT_G1</t>
    <phoneticPr fontId="1"/>
  </si>
  <si>
    <t>NVMID_STACKER_MOT_LIFT_UP_COUNT_G2</t>
    <phoneticPr fontId="1"/>
  </si>
  <si>
    <t>NVMID_UN_STAPLE_STACKER_DOWN_TIMING_AT_EJECT</t>
    <phoneticPr fontId="1"/>
  </si>
  <si>
    <t>NVMID_CORNER_STAPLE_STACKER_DOWN_TIMING_AT_EJECT</t>
    <phoneticPr fontId="1"/>
  </si>
  <si>
    <r>
      <t>イジェクト位置への移動におけるStacker MOT下降パルス数[H1]</t>
    </r>
    <r>
      <rPr>
        <strike/>
        <sz val="10"/>
        <rFont val="ＭＳ ゴシック"/>
        <family val="3"/>
        <charset val="128"/>
      </rPr>
      <t>(用紙セット枚数5枚以下)</t>
    </r>
    <r>
      <rPr>
        <sz val="10"/>
        <rFont val="ＭＳ ゴシック"/>
        <family val="3"/>
        <charset val="128"/>
      </rPr>
      <t>(用紙セット枚数N枚以下)(N=763-458)</t>
    </r>
    <rPh sb="5" eb="7">
      <t>イチ</t>
    </rPh>
    <rPh sb="9" eb="11">
      <t>イドウ</t>
    </rPh>
    <phoneticPr fontId="1"/>
  </si>
  <si>
    <t>STACKER_MOT_LIFT_DOWN_COUNT_H1_1</t>
    <phoneticPr fontId="1"/>
  </si>
  <si>
    <t>NVMID_STACKER_MOT_LIFT_DOWN_COUNT_H1_1</t>
    <phoneticPr fontId="1"/>
  </si>
  <si>
    <t>イジェクト位置への移動におけるStacker MOT下降パルス数[H1](用紙セット枚数5枚超え)(用紙セット枚数N枚超え)(N=763-458)</t>
    <rPh sb="5" eb="7">
      <t>イチ</t>
    </rPh>
    <rPh sb="9" eb="11">
      <t>イドウ</t>
    </rPh>
    <phoneticPr fontId="1"/>
  </si>
  <si>
    <t>NVMID_STACKER_MOT_LIFT_DOWN_COUNT_H1_2</t>
    <phoneticPr fontId="1"/>
  </si>
  <si>
    <r>
      <t>イジェクト位置への移動におけるStacker MOT下降パルス数[H2]</t>
    </r>
    <r>
      <rPr>
        <strike/>
        <sz val="10"/>
        <rFont val="ＭＳ ゴシック"/>
        <family val="3"/>
        <charset val="128"/>
      </rPr>
      <t>(用紙セット枚数5枚以下)</t>
    </r>
    <r>
      <rPr>
        <sz val="10"/>
        <rFont val="ＭＳ ゴシック"/>
        <family val="3"/>
        <charset val="128"/>
      </rPr>
      <t>(用紙セット枚数N枚以下)(N=763-458)</t>
    </r>
    <rPh sb="5" eb="7">
      <t>イチ</t>
    </rPh>
    <rPh sb="9" eb="11">
      <t>イドウ</t>
    </rPh>
    <phoneticPr fontId="1"/>
  </si>
  <si>
    <t>NVMID_STACKER_MOT_LIFT_DOWN_COUNT_H2_1</t>
    <phoneticPr fontId="1"/>
  </si>
  <si>
    <r>
      <t>イジェクト位置への移動におけるStacker MOT下降パルス数[H2]</t>
    </r>
    <r>
      <rPr>
        <strike/>
        <sz val="10"/>
        <rFont val="ＭＳ ゴシック"/>
        <family val="3"/>
        <charset val="128"/>
      </rPr>
      <t>(用紙セット枚数5枚超え)</t>
    </r>
    <r>
      <rPr>
        <sz val="10"/>
        <rFont val="ＭＳ ゴシック"/>
        <family val="3"/>
        <charset val="128"/>
      </rPr>
      <t>(用紙セット枚数N枚超え)(N=763-458)</t>
    </r>
    <rPh sb="5" eb="7">
      <t>イチ</t>
    </rPh>
    <rPh sb="9" eb="11">
      <t>イドウ</t>
    </rPh>
    <phoneticPr fontId="1"/>
  </si>
  <si>
    <t>NVMID_STACKER_MOT_LIFT_DOWN_COUNT_H2_2</t>
    <phoneticPr fontId="1"/>
  </si>
  <si>
    <t>NVMID_STACK_LIFT_DOWNCOUNT_H1_3_NOUSE</t>
    <phoneticPr fontId="1"/>
  </si>
  <si>
    <t>STACKER_MOT_LIFT_DOWN_COUNT_H2_3
未使用</t>
    <phoneticPr fontId="1"/>
  </si>
  <si>
    <t>NVMID_STACK_LIFT_DOWNCOUN_H2_3_NOUSE</t>
    <phoneticPr fontId="1"/>
  </si>
  <si>
    <t>NVMID_S_CORNER_STAPLE_STACK_SET_LIMIT</t>
    <phoneticPr fontId="1"/>
  </si>
  <si>
    <t>NVMID_L_CORNER_STAPLE_STACK_SET_LIMIT</t>
    <phoneticPr fontId="1"/>
  </si>
  <si>
    <t>NVMID_NUM_SET_STAPLE_POSITION</t>
    <phoneticPr fontId="1"/>
  </si>
  <si>
    <t>NVMID_MAX_COMPILE_SHEET_COUNT_FOR_STAPLE_50</t>
    <phoneticPr fontId="1"/>
  </si>
  <si>
    <t>NVMID_LAST_OFFSET_POSITION</t>
    <phoneticPr fontId="1"/>
  </si>
  <si>
    <t>NVMID_MAX_COMPILE_SHEET_FOR_UNSTAPLE_SIZE_S</t>
    <phoneticPr fontId="1"/>
  </si>
  <si>
    <t>NVMID_MAX_COMPILE_SHEET_FOR_UNSTAPLE_SIZE_L</t>
    <phoneticPr fontId="1"/>
  </si>
  <si>
    <t>NVMID_TAMPING_START_SETTING1</t>
    <phoneticPr fontId="1"/>
  </si>
  <si>
    <t>NVMID_TAMPING_START_SETTING2</t>
    <phoneticPr fontId="1"/>
  </si>
  <si>
    <t>NVMID_TAMPING_START_SETTING3</t>
    <phoneticPr fontId="1"/>
  </si>
  <si>
    <t>NVMID_TAMPING_START_SETTING4</t>
    <phoneticPr fontId="1"/>
  </si>
  <si>
    <t>NVMID_TAMPING_START_SETTING5</t>
    <phoneticPr fontId="1"/>
  </si>
  <si>
    <t>NVMID_TAMPING_START_SETTING6</t>
    <phoneticPr fontId="1"/>
  </si>
  <si>
    <t>SETLAST_TAMPING_START_SETTING1</t>
    <phoneticPr fontId="1"/>
  </si>
  <si>
    <t>NVMID_SETLAST_TAMPING_START_SETTING1</t>
    <phoneticPr fontId="1"/>
  </si>
  <si>
    <t>NVMID_SETLAST_TAMPING_START_SETTING2</t>
    <phoneticPr fontId="1"/>
  </si>
  <si>
    <t>NVMID_SETLAST_TAMPING_START_SETTING3</t>
    <phoneticPr fontId="1"/>
  </si>
  <si>
    <t>NVMID_SETLAST_TAMPING_START_SETTING4</t>
    <phoneticPr fontId="1"/>
  </si>
  <si>
    <t>NVMID_SETLAST_TAMPING_START_SETTING5</t>
    <phoneticPr fontId="1"/>
  </si>
  <si>
    <t>NVMID_SETLAST_TAMPING_START_SETTING6</t>
    <phoneticPr fontId="1"/>
  </si>
  <si>
    <t>NVMID_SETLAST_TAMPING_NUM1</t>
    <phoneticPr fontId="1"/>
  </si>
  <si>
    <t>NVMID_SETLAST_TAMPING_NUM2</t>
    <phoneticPr fontId="1"/>
  </si>
  <si>
    <t>NVMID_TAMPER_RETURN_OUT_START_TIME</t>
    <phoneticPr fontId="1"/>
  </si>
  <si>
    <t>NVMID_TAMPER_RETURN_IN_START_TIME</t>
    <phoneticPr fontId="1"/>
  </si>
  <si>
    <t>NVMID_TAMPER_UN_STPLE_ADJST</t>
    <phoneticPr fontId="1"/>
  </si>
  <si>
    <t>NVMID_TAMPER_R_STPLE_ADJST</t>
    <phoneticPr fontId="1"/>
  </si>
  <si>
    <t>NVMID_TAMPING_ADD_PUSH_PULSE</t>
    <phoneticPr fontId="1"/>
  </si>
  <si>
    <t>NVMID_TAMPING_ADD_PUSH_PAPER_COUNT</t>
    <phoneticPr fontId="1"/>
  </si>
  <si>
    <t>STAPLE_COUNT</t>
    <phoneticPr fontId="1"/>
  </si>
  <si>
    <t>NVMID_STAPLE_COUNT</t>
    <phoneticPr fontId="1"/>
  </si>
  <si>
    <t>NVMID_STAPLER_MOT_PWM_LOW_SETTING1_1</t>
    <phoneticPr fontId="1"/>
  </si>
  <si>
    <t>NVMID_STAPLE_SPEED_CHANGE</t>
    <phoneticPr fontId="1"/>
  </si>
  <si>
    <t>STAPLE_COAT_CHANGE</t>
    <phoneticPr fontId="1"/>
  </si>
  <si>
    <t>NVMID_STAPLE_COAT_CHANGE</t>
    <phoneticPr fontId="1"/>
  </si>
  <si>
    <t>Stacker Stapler Near Low検知数</t>
    <phoneticPr fontId="1"/>
  </si>
  <si>
    <t>NVMID_STAPLE_COUNT_DETECT_NEAR_LOW_STAPLE</t>
    <phoneticPr fontId="1"/>
  </si>
  <si>
    <t>NVMID_DETECT_NEAR_LOW_STAPLE_THRESHOLD</t>
    <phoneticPr fontId="1"/>
  </si>
  <si>
    <t>NVMID_SUB_PADDLE_STOP_TIME_1</t>
    <phoneticPr fontId="1"/>
  </si>
  <si>
    <t>NVMID_EJECT_SPEED_CHANGE_TIME_2</t>
    <phoneticPr fontId="1"/>
  </si>
  <si>
    <t>NVMID_EJECT_COMPILE_MOTOR_STOP_PULSE</t>
    <phoneticPr fontId="1"/>
  </si>
  <si>
    <t>NVMID_SET_CLAMP_UP_START_TIME_4</t>
    <phoneticPr fontId="1"/>
  </si>
  <si>
    <t>NVMID_SET_CLAMP_UP_STOP_TIME_5</t>
    <phoneticPr fontId="1"/>
  </si>
  <si>
    <t>NVMID_SET_CLAMP_LOWER_START_TIME_6</t>
    <phoneticPr fontId="1"/>
  </si>
  <si>
    <t>NVMID_SET_CLAMP_LOWER_STOP_TIME_7</t>
    <phoneticPr fontId="1"/>
  </si>
  <si>
    <t>NVMID_SUB_PADDLE_START_TIME_8_1</t>
    <phoneticPr fontId="1"/>
  </si>
  <si>
    <t>NVMID_SUB_PADDLE_START_TIME_8_2</t>
    <phoneticPr fontId="1"/>
  </si>
  <si>
    <t>SUB_PADDLE_START_TIME_8_3</t>
    <phoneticPr fontId="1"/>
  </si>
  <si>
    <t>NVMID_SUB_PADDLE_START_TIME_8_3</t>
    <phoneticPr fontId="1"/>
  </si>
  <si>
    <t>SUB_PADDLE_PROFILE_TYPE_1</t>
    <phoneticPr fontId="1"/>
  </si>
  <si>
    <t>NVMID_SUB_PADDLE_PROFILE_TYPE_1</t>
    <phoneticPr fontId="1"/>
  </si>
  <si>
    <t>SUB_PADDLE_PROFILE_TYPE_2</t>
    <phoneticPr fontId="1"/>
  </si>
  <si>
    <t>NVMID_SUB_PADDLE_PROFILE_TYPE_2</t>
    <phoneticPr fontId="1"/>
  </si>
  <si>
    <t>SUB_PADDLE_PROFILE_TYPE_3</t>
    <phoneticPr fontId="1"/>
  </si>
  <si>
    <t>NVMID_SUB_PADDLE_PROFILE_TYPE_3</t>
    <phoneticPr fontId="1"/>
  </si>
  <si>
    <t>NVMID_SUB_PADDLE_COUNT1</t>
    <phoneticPr fontId="1"/>
  </si>
  <si>
    <t>NVMID_SUB_PADDLE_COUNT2</t>
    <phoneticPr fontId="1"/>
  </si>
  <si>
    <t>NVMID_SUB_PADDLE_COUNT3</t>
    <phoneticPr fontId="1"/>
  </si>
  <si>
    <t>NVMID_SUB_PADDLE_COUNT4</t>
    <phoneticPr fontId="1"/>
  </si>
  <si>
    <t>NVMID_SUB_PADDLE_COUNT5</t>
    <phoneticPr fontId="1"/>
  </si>
  <si>
    <t>NVMID_SUB_PADDLE_COUNT6</t>
    <phoneticPr fontId="1"/>
  </si>
  <si>
    <t>サブパドル回転数の変動セット枚数(N)(厚紙)　</t>
    <phoneticPr fontId="1"/>
  </si>
  <si>
    <t>SUB_PADDLE_CHANGE_COUNT_N</t>
    <phoneticPr fontId="1"/>
  </si>
  <si>
    <t xml:space="preserve">1Count = 1
</t>
    <phoneticPr fontId="1"/>
  </si>
  <si>
    <t>NVMID_SUB_PADDLE_CHANGE_COUNT_N</t>
    <phoneticPr fontId="1"/>
  </si>
  <si>
    <t>Stapler MotorのPWM Low時間設定値(1段目・6～20枚)</t>
    <phoneticPr fontId="1"/>
  </si>
  <si>
    <t>STAPLER_MOT_PWM_LOW_SETTING6_20</t>
    <phoneticPr fontId="1"/>
  </si>
  <si>
    <t>NVMID_STAPLER_MOT_PWM_LOW_SETTING6_20</t>
    <phoneticPr fontId="1"/>
  </si>
  <si>
    <t>Stapler MotorのPWM Low時間設定値(1段目・21～40枚)</t>
    <phoneticPr fontId="1"/>
  </si>
  <si>
    <t>STAPLER_MOT_PWM_LOW_SETTING21_40</t>
    <phoneticPr fontId="1"/>
  </si>
  <si>
    <t>NVMID_STAPLER_MOT_PWM_LOW_SETTING21_40</t>
    <phoneticPr fontId="1"/>
  </si>
  <si>
    <t>SUB_PADDLE_CHANGE_COUNT_N_2</t>
    <phoneticPr fontId="1"/>
  </si>
  <si>
    <t>NVMID_SUB_PADDLE_CHANGE_COUNT_N_2</t>
    <phoneticPr fontId="1"/>
  </si>
  <si>
    <t>サブパドル回転数の変動セット枚数(N)
(コート紙)</t>
    <phoneticPr fontId="1"/>
  </si>
  <si>
    <t>SUB_PADDLE_CHANGE_COUNT_N_3</t>
    <phoneticPr fontId="1"/>
  </si>
  <si>
    <t>NVMID_SUB_PADDLE_CHANGE_COUNT_N_3</t>
    <phoneticPr fontId="1"/>
  </si>
  <si>
    <t>イジェクト位置への移動における
StackerMOT下降パルス数[H1](UN-STAPLE)
(用紙セット枚数N枚以下)</t>
    <phoneticPr fontId="1"/>
  </si>
  <si>
    <t>STACKER_MOT_LIFT_DOWN_COUNT_H1_3</t>
    <phoneticPr fontId="1"/>
  </si>
  <si>
    <t xml:space="preserve">イジェクト位置への移動動作におけるStacker MOT下降追加パルス数
(UN-STAPLE収容不良対策モード閾値(N2)を超える場合に適用)1Count = 1[Pulse]
</t>
    <phoneticPr fontId="1"/>
  </si>
  <si>
    <t>NVMID_STACKER_MOT_LIFT_DOWN_COUNT_H1_3</t>
    <phoneticPr fontId="1"/>
  </si>
  <si>
    <t>イジェクト位置への移動における
StackerMOT下降パルス数[H1](UN-STAPLE)
(用紙セット枚数N枚超え)</t>
    <phoneticPr fontId="1"/>
  </si>
  <si>
    <t>STACKER_MOT_LIFT_DOWN_COUNT_H1_4</t>
    <phoneticPr fontId="1"/>
  </si>
  <si>
    <t xml:space="preserve">↑
</t>
    <phoneticPr fontId="1"/>
  </si>
  <si>
    <t>NVMID_STACKER_MOT_LIFT_DOWN_COUNT_H1_4</t>
    <phoneticPr fontId="1"/>
  </si>
  <si>
    <t>イジェクト位置への移動における
StackerMOT下降パルス数[H2](UN-STAPLE)
(用紙セット枚数N枚以下)</t>
    <phoneticPr fontId="1"/>
  </si>
  <si>
    <t>STACKER_MOT_LIFT_DOWN_COUNT_H2_3</t>
    <phoneticPr fontId="1"/>
  </si>
  <si>
    <t>↑</t>
    <phoneticPr fontId="1"/>
  </si>
  <si>
    <t>NVMID_STACKER_MOT_LIFT_DOWN_COUNT_H2_3</t>
    <phoneticPr fontId="1"/>
  </si>
  <si>
    <t>イジェクト位置への移動における
StackerMOT下降パルス数[H2](UN-STAPLE)
(用紙セット枚数N枚超え)</t>
    <phoneticPr fontId="1"/>
  </si>
  <si>
    <t>STACKER_MOT_LIFT_DOWN_COUNT_H2_4</t>
    <phoneticPr fontId="1"/>
  </si>
  <si>
    <t>NVMID_STACKER_MOT_LIFT_DOWN_COUNT_H2_4</t>
    <phoneticPr fontId="1"/>
  </si>
  <si>
    <t>用紙set枚数調整(N)</t>
    <phoneticPr fontId="1"/>
  </si>
  <si>
    <t>PAPER_SET_COUNT_N</t>
    <phoneticPr fontId="1"/>
  </si>
  <si>
    <t xml:space="preserve">1Count = 1枚
</t>
    <phoneticPr fontId="1"/>
  </si>
  <si>
    <t>NVMID_PAPER_SET_COUNT_N</t>
    <phoneticPr fontId="1"/>
  </si>
  <si>
    <t>NVMID_TRANSPORT_MOT_DOWN_START_T1_2</t>
    <phoneticPr fontId="1"/>
  </si>
  <si>
    <t>TAMPER_SIZE_OUT_UNSTAPLE_ST_T_ADJ</t>
    <phoneticPr fontId="1"/>
  </si>
  <si>
    <t>NVMID_TAMPER_SIZE_OUT_UNSTAPLE_ST_T_ADJ</t>
    <phoneticPr fontId="1"/>
  </si>
  <si>
    <t>TAMPER_SIZE_OUT_STAPLE_ST_T_ADJ</t>
    <phoneticPr fontId="1"/>
  </si>
  <si>
    <t>NVMID_TAMPER_SIZE_OUT_STAPLE_ST_T_ADJ</t>
    <phoneticPr fontId="1"/>
  </si>
  <si>
    <t>TAMPER_OFFSET_PUSH_PULSE</t>
    <phoneticPr fontId="1"/>
  </si>
  <si>
    <t>NVMID_TAMPER_OFFSET_PUSH_PULSE</t>
    <phoneticPr fontId="1"/>
  </si>
  <si>
    <t>Compile Exit  Rollの減速時間(T2)_厚紙,
コート紙 以外</t>
    <phoneticPr fontId="1"/>
  </si>
  <si>
    <t>TRANSPORT_MOT_DOWN_START_T2_1</t>
    <phoneticPr fontId="1"/>
  </si>
  <si>
    <t>NVMID_TRANSPORT_MOT_DOWN_START_T2_1</t>
    <phoneticPr fontId="1"/>
  </si>
  <si>
    <t>Compile Exit  Rollの減速時間(T2)_厚紙,
コート紙</t>
    <phoneticPr fontId="1"/>
  </si>
  <si>
    <t>TRANSPORT_MOT_DOWN_START_T2_2</t>
    <phoneticPr fontId="1"/>
  </si>
  <si>
    <t>NVMID_TRANSPORT_MOT_DOWN_START_T2_2</t>
    <phoneticPr fontId="1"/>
  </si>
  <si>
    <t>Before Stacker Motor の Pulse Count数</t>
    <phoneticPr fontId="1"/>
  </si>
  <si>
    <t>BEFORE_ELEVATOR_MOT_PULSE_COUNT</t>
    <phoneticPr fontId="1"/>
  </si>
  <si>
    <t>NVMID_BEFORE_ELEVATOR_MOT_PULSE_COUNT</t>
    <phoneticPr fontId="1"/>
  </si>
  <si>
    <t>TRANSPORT_MOT_SPEED_V3</t>
    <phoneticPr fontId="1"/>
  </si>
  <si>
    <t>NVMID_TRANSPORT_MOT_SPEED_V3</t>
    <phoneticPr fontId="1"/>
  </si>
  <si>
    <t>TRANSPORT_MOT_SPEED_V4</t>
    <phoneticPr fontId="1"/>
  </si>
  <si>
    <t>NVMID_TRANSPORT_MOT_SPEED_V4</t>
    <phoneticPr fontId="1"/>
  </si>
  <si>
    <t>SUB_PADDLE_CHANGE_COUNT_P2</t>
    <phoneticPr fontId="1"/>
  </si>
  <si>
    <t>1Count =1</t>
    <phoneticPr fontId="1"/>
  </si>
  <si>
    <t>Compiler</t>
    <phoneticPr fontId="1"/>
  </si>
  <si>
    <t>NVMID_SUB_PADDLE_CHANGE_COUNT_P2</t>
    <phoneticPr fontId="1"/>
  </si>
  <si>
    <t>SUB_PADDLE_CHANGE_COUNT_N_2_B5</t>
    <phoneticPr fontId="1"/>
  </si>
  <si>
    <t>NVMID_SUB_PADDLE_CHANGE_COUNT_N_2_B5</t>
    <phoneticPr fontId="1"/>
  </si>
  <si>
    <t>Tamper</t>
    <phoneticPr fontId="1"/>
  </si>
  <si>
    <t>NVMID_TAMPING_ADD_PUSH_PULSE_2</t>
    <phoneticPr fontId="1"/>
  </si>
  <si>
    <t>セット間ピッチ調整値(用紙送り長297.0mm)</t>
    <phoneticPr fontId="1"/>
  </si>
  <si>
    <t>SET_PITCH_SETTING3</t>
    <phoneticPr fontId="1"/>
  </si>
  <si>
    <t>NVMID_SET_PITCH_SETTING3</t>
    <phoneticPr fontId="1"/>
  </si>
  <si>
    <t>排出時の搬送速度(V5): FINISHER_SPEED(763-1:3)の時(DiagHighSpeed)</t>
    <rPh sb="7" eb="8">
      <t>キセイギョテイシジカンミマンノゾジヨウシ</t>
    </rPh>
    <phoneticPr fontId="1"/>
  </si>
  <si>
    <t>TRANSPORT_MOT_SPEED_V5</t>
    <phoneticPr fontId="1"/>
  </si>
  <si>
    <t>NVMID_TRANSPORT_MOT_SPEED_V5</t>
    <phoneticPr fontId="1"/>
  </si>
  <si>
    <t>排出時の搬送速度(V4): FINISHER_SPEED(763-1:2)の時</t>
    <rPh sb="7" eb="8">
      <t>キセイギョテイシジカンミマンノゾジヨウシ</t>
    </rPh>
    <phoneticPr fontId="1"/>
  </si>
  <si>
    <t xml:space="preserve">フィニッシャー搬送速度を切り替える。
フィニッシャー搬送速度を本NVMの値に従い決定する。
0＝Auto(IOTからの通知情報より決定する)
1＝V3(NVM763-209:600mm/sec)
2＝V4(NVM763-210:700mm/sec)
3＝V5(NVM763-466:800mm/sec)
</t>
    <rPh sb="7" eb="9">
      <t>ハンソウ</t>
    </rPh>
    <rPh sb="9" eb="11">
      <t>ソクド</t>
    </rPh>
    <rPh sb="12" eb="13">
      <t>キ</t>
    </rPh>
    <rPh sb="14" eb="15">
      <t>カ</t>
    </rPh>
    <rPh sb="31" eb="33">
      <t>ハイシ</t>
    </rPh>
    <rPh sb="33" eb="34">
      <t>ジ</t>
    </rPh>
    <rPh sb="35" eb="37">
      <t>ソクド</t>
    </rPh>
    <rPh sb="38" eb="39">
      <t>ホン</t>
    </rPh>
    <rPh sb="43" eb="44">
      <t>シタガ</t>
    </rPh>
    <rPh sb="63" eb="65">
      <t>イガイ</t>
    </rPh>
    <rPh sb="66" eb="68">
      <t>ジョウケン</t>
    </rPh>
    <rPh sb="68" eb="69">
      <t>カ</t>
    </rPh>
    <phoneticPr fontId="1"/>
  </si>
  <si>
    <t>Compile Exit  Rollの減速開始時間(T1_3)_厚紙,
コート紙 以外</t>
    <rPh sb="7" eb="8">
      <t>キ</t>
    </rPh>
    <rPh sb="18" eb="20">
      <t>セイギョテイシジカン</t>
    </rPh>
    <phoneticPr fontId="1"/>
  </si>
  <si>
    <t>TRANSPORT_MOT_DOWN_START_T1_3</t>
    <phoneticPr fontId="1"/>
  </si>
  <si>
    <t>NVMID_TRANSPORT_MOT_DOWN_START_T1_3</t>
    <phoneticPr fontId="1"/>
  </si>
  <si>
    <t>Compile Exit  Rollの減速開始時間(T1_4)_厚紙,
コート紙</t>
    <rPh sb="7" eb="8">
      <t>キ</t>
    </rPh>
    <rPh sb="18" eb="20">
      <t>セイギョテイシジカン</t>
    </rPh>
    <phoneticPr fontId="1"/>
  </si>
  <si>
    <t>TRANSPORT_MOT_DOWN_START_T1_4</t>
    <phoneticPr fontId="1"/>
  </si>
  <si>
    <t>NVMID_TRANSPORT_MOT_DOWN_START_T1_4</t>
    <phoneticPr fontId="1"/>
  </si>
  <si>
    <t>Compile Exit  Rollの減速時間(T2_3)_厚紙,
コート紙 以外</t>
    <phoneticPr fontId="1"/>
  </si>
  <si>
    <t>TRANSPORT_MOT_DOWN_START_T2_3</t>
    <phoneticPr fontId="1"/>
  </si>
  <si>
    <t>NVMID_TRANSPORT_MOT_DOWN_START_T2_3</t>
    <phoneticPr fontId="1"/>
  </si>
  <si>
    <t>Compile Exit  Rollの減速時間(T2_4)_厚紙,
コート紙</t>
    <phoneticPr fontId="1"/>
  </si>
  <si>
    <t>TRANSPORT_MOT_DOWN_START_T2_4</t>
    <phoneticPr fontId="1"/>
  </si>
  <si>
    <t>NVMID_TRANSPORT_MOT_DOWN_START_T1_1</t>
    <phoneticPr fontId="1"/>
  </si>
  <si>
    <t>TRANSPORT_MOT_DOWN_START_T1_2</t>
    <phoneticPr fontId="1"/>
  </si>
  <si>
    <t>TRANSPORT_MOT_DOWN_START_T1</t>
    <phoneticPr fontId="1"/>
  </si>
  <si>
    <r>
      <t xml:space="preserve">Compile Exit  Rollの減速開始時間(T1)_厚紙,
</t>
    </r>
    <r>
      <rPr>
        <sz val="9"/>
        <color rgb="FFFF0000"/>
        <rFont val="ＭＳ ゴシック"/>
        <family val="3"/>
        <charset val="128"/>
      </rPr>
      <t>コート紙 以外</t>
    </r>
    <rPh sb="7" eb="8">
      <t>キ</t>
    </rPh>
    <rPh sb="18" eb="20">
      <t>セイギョテイシジカン</t>
    </rPh>
    <phoneticPr fontId="1"/>
  </si>
  <si>
    <r>
      <t xml:space="preserve">Compile Exit  Rollの減速開始時間(T1_2)_厚紙,
</t>
    </r>
    <r>
      <rPr>
        <sz val="9"/>
        <color rgb="FFFF0000"/>
        <rFont val="ＭＳ ゴシック"/>
        <family val="3"/>
        <charset val="128"/>
      </rPr>
      <t>コート紙</t>
    </r>
    <rPh sb="7" eb="8">
      <t>キ</t>
    </rPh>
    <rPh sb="18" eb="20">
      <t>セイギョテイシジカン</t>
    </rPh>
    <phoneticPr fontId="1"/>
  </si>
  <si>
    <t xml:space="preserve">Pulse数
1Count = 1Pulse
</t>
    <phoneticPr fontId="1"/>
  </si>
  <si>
    <t xml:space="preserve">時間(ms)
1Count = 10ms
</t>
    <phoneticPr fontId="1"/>
  </si>
  <si>
    <t>1.0.0</t>
    <phoneticPr fontId="1"/>
  </si>
  <si>
    <t>NVM_IPL_VERSION</t>
    <phoneticPr fontId="1"/>
  </si>
  <si>
    <t>IPLバージョン</t>
    <phoneticPr fontId="1"/>
  </si>
  <si>
    <t>IPLバージョン記録</t>
    <phoneticPr fontId="1"/>
  </si>
  <si>
    <t>NVMID_NVM_IPL_VERSION</t>
    <phoneticPr fontId="1"/>
  </si>
  <si>
    <t>ミスレジ防止のLT動作開始時間の補正</t>
    <rPh sb="4" eb="6">
      <t>ボウシ</t>
    </rPh>
    <rPh sb="9" eb="11">
      <t>ドウサ</t>
    </rPh>
    <rPh sb="11" eb="13">
      <t>カイシ</t>
    </rPh>
    <rPh sb="13" eb="15">
      <t>ジカン</t>
    </rPh>
    <rPh sb="16" eb="18">
      <t>ホセイ</t>
    </rPh>
    <phoneticPr fontId="1"/>
  </si>
  <si>
    <t>ミスレジ防止のLT逃げ動作の移動パルス数</t>
    <rPh sb="4" eb="6">
      <t>ボウシ</t>
    </rPh>
    <rPh sb="9" eb="10">
      <t>ニ</t>
    </rPh>
    <rPh sb="11" eb="13">
      <t>ドウサ</t>
    </rPh>
    <rPh sb="14" eb="16">
      <t>イドウ</t>
    </rPh>
    <rPh sb="19" eb="20">
      <t>スウ</t>
    </rPh>
    <phoneticPr fontId="1"/>
  </si>
  <si>
    <t>TAMPER_MISSREGI_MOT_PULSE</t>
    <phoneticPr fontId="1"/>
  </si>
  <si>
    <t>TAMPER_MISSREGI_START_TIME</t>
    <phoneticPr fontId="1"/>
  </si>
  <si>
    <t>Tamper</t>
    <phoneticPr fontId="1"/>
  </si>
  <si>
    <t>NVMID_TRANSPORT_MOT_DOWN_START_T2_4</t>
    <phoneticPr fontId="1"/>
  </si>
  <si>
    <t>NVMID_TAMPER_MISSREGI_START_TIME</t>
    <phoneticPr fontId="1"/>
  </si>
  <si>
    <t>TAMPING_SETLAST_ADD_PULSE_ADJ_N</t>
    <phoneticPr fontId="1"/>
  </si>
  <si>
    <t>1枚単位</t>
    <rPh sb="1" eb="2">
      <t>マイ</t>
    </rPh>
    <rPh sb="2" eb="4">
      <t>タンイ</t>
    </rPh>
    <phoneticPr fontId="1"/>
  </si>
  <si>
    <t>NVMID_TAMPER_MISSREGI_MOT_PULSE</t>
    <phoneticPr fontId="1"/>
  </si>
  <si>
    <t>NVMID_TAMPING_SETLAST_ADD_PULSE_ADJ_N</t>
    <phoneticPr fontId="1"/>
  </si>
  <si>
    <t>TAMPING_SETLAST_ADD_PULSE_5</t>
    <phoneticPr fontId="1"/>
  </si>
  <si>
    <t>TAMPING_SETLAST_ADD_PULSE_6</t>
    <phoneticPr fontId="1"/>
  </si>
  <si>
    <t>NVMID_TAMPING_SETLAST_ADD_PULSE_5</t>
    <phoneticPr fontId="1"/>
  </si>
  <si>
    <t>NVMID_TAMPING_SETLAST_ADD_PULSE_6</t>
    <phoneticPr fontId="1"/>
  </si>
  <si>
    <t>NormalTamping時、用紙長297.0mm以下のLeftTamper電流値切り替え時間調整値</t>
    <rPh sb="13" eb="14">
      <t>ジ</t>
    </rPh>
    <rPh sb="15" eb="17">
      <t>ヨウシ</t>
    </rPh>
    <rPh sb="17" eb="18">
      <t>チョウ</t>
    </rPh>
    <rPh sb="25" eb="27">
      <t>イカ</t>
    </rPh>
    <rPh sb="38" eb="40">
      <t>デンリュウ</t>
    </rPh>
    <rPh sb="40" eb="41">
      <t>チ</t>
    </rPh>
    <rPh sb="41" eb="42">
      <t>キ</t>
    </rPh>
    <rPh sb="43" eb="44">
      <t>カ</t>
    </rPh>
    <rPh sb="45" eb="47">
      <t>ジカン</t>
    </rPh>
    <rPh sb="47" eb="49">
      <t>チョウセイ</t>
    </rPh>
    <rPh sb="49" eb="50">
      <t>チ</t>
    </rPh>
    <phoneticPr fontId="1"/>
  </si>
  <si>
    <t>NormalTamping時、用紙長297.mm超えのLeftTamper電流値切り替え時間調整値</t>
    <rPh sb="13" eb="14">
      <t>ジ</t>
    </rPh>
    <rPh sb="15" eb="17">
      <t>ヨウシ</t>
    </rPh>
    <rPh sb="17" eb="18">
      <t>チョウ</t>
    </rPh>
    <rPh sb="24" eb="25">
      <t>コ</t>
    </rPh>
    <rPh sb="37" eb="39">
      <t>デンリュウ</t>
    </rPh>
    <rPh sb="39" eb="40">
      <t>チ</t>
    </rPh>
    <rPh sb="40" eb="41">
      <t>キ</t>
    </rPh>
    <rPh sb="42" eb="43">
      <t>カ</t>
    </rPh>
    <rPh sb="44" eb="46">
      <t>ジカン</t>
    </rPh>
    <rPh sb="46" eb="48">
      <t>チョウセイ</t>
    </rPh>
    <rPh sb="48" eb="49">
      <t>チ</t>
    </rPh>
    <phoneticPr fontId="1"/>
  </si>
  <si>
    <t>SetLastTamping時、用紙長297.0mm以下のLeftTamper電流値切り替え時間調整値</t>
    <rPh sb="14" eb="15">
      <t>ジ</t>
    </rPh>
    <rPh sb="16" eb="18">
      <t>ヨウシ</t>
    </rPh>
    <rPh sb="18" eb="19">
      <t>チョウ</t>
    </rPh>
    <rPh sb="26" eb="28">
      <t>イカ</t>
    </rPh>
    <rPh sb="39" eb="41">
      <t>デンリュウ</t>
    </rPh>
    <rPh sb="41" eb="42">
      <t>チ</t>
    </rPh>
    <rPh sb="42" eb="43">
      <t>キ</t>
    </rPh>
    <rPh sb="44" eb="45">
      <t>カ</t>
    </rPh>
    <rPh sb="46" eb="48">
      <t>ジカン</t>
    </rPh>
    <rPh sb="48" eb="50">
      <t>チョウセイ</t>
    </rPh>
    <rPh sb="50" eb="51">
      <t>チ</t>
    </rPh>
    <phoneticPr fontId="1"/>
  </si>
  <si>
    <t>SetLastTamping時、用紙長297.mm超えのLeftTamper電流値切り替え時間調整値</t>
    <rPh sb="14" eb="15">
      <t>ジ</t>
    </rPh>
    <rPh sb="16" eb="18">
      <t>ヨウシ</t>
    </rPh>
    <rPh sb="18" eb="19">
      <t>チョウ</t>
    </rPh>
    <rPh sb="25" eb="26">
      <t>コ</t>
    </rPh>
    <rPh sb="38" eb="40">
      <t>デンリュウ</t>
    </rPh>
    <rPh sb="40" eb="41">
      <t>チ</t>
    </rPh>
    <rPh sb="41" eb="42">
      <t>キ</t>
    </rPh>
    <rPh sb="43" eb="44">
      <t>カ</t>
    </rPh>
    <rPh sb="45" eb="47">
      <t>ジカン</t>
    </rPh>
    <rPh sb="47" eb="49">
      <t>チョウセイ</t>
    </rPh>
    <rPh sb="49" eb="50">
      <t>チ</t>
    </rPh>
    <phoneticPr fontId="1"/>
  </si>
  <si>
    <t>1Count ＝ 1ms</t>
  </si>
  <si>
    <t>1Count ＝ 1ms</t>
    <phoneticPr fontId="1"/>
  </si>
  <si>
    <t>NVMID_TAMPING_NORMAL_LT_CURR_CHANGE_1</t>
    <phoneticPr fontId="1"/>
  </si>
  <si>
    <t>NVMID_TAMPING_NORMAL_LT_CURR_CHANGE_2</t>
    <phoneticPr fontId="1"/>
  </si>
  <si>
    <t>NVMID_TAMPING_SETLAST_LT_CURR_CHANGE_1</t>
    <phoneticPr fontId="1"/>
  </si>
  <si>
    <t>NVMID_TAMPING_SETLAST_LT_CURR_CHANGE_2</t>
    <phoneticPr fontId="1"/>
  </si>
  <si>
    <t>TAMPING_NORMAL_LT_CURR_CHANGE_1</t>
    <phoneticPr fontId="1"/>
  </si>
  <si>
    <t>TAMPING_NORMAL_LT_CURR_CHANGE_2</t>
    <phoneticPr fontId="1"/>
  </si>
  <si>
    <t>TAMPING_SETLAST_LT_CURR_CHANGE_1</t>
    <phoneticPr fontId="1"/>
  </si>
  <si>
    <t>TAMPING_SETLAST_LT_CURR_CHANGE_2</t>
    <phoneticPr fontId="1"/>
  </si>
  <si>
    <t>セットラストタンピングのTamper用紙揃え
押し込み量追加の調整 N 枚数(NVM④)</t>
    <rPh sb="18" eb="20">
      <t>ヨウシ</t>
    </rPh>
    <rPh sb="20" eb="21">
      <t>ソロ</t>
    </rPh>
    <rPh sb="23" eb="24">
      <t>オ</t>
    </rPh>
    <rPh sb="25" eb="26">
      <t>コ</t>
    </rPh>
    <rPh sb="27" eb="28">
      <t>リョウ</t>
    </rPh>
    <rPh sb="28" eb="30">
      <t>ツイカ</t>
    </rPh>
    <rPh sb="31" eb="33">
      <t>チョウセイ</t>
    </rPh>
    <rPh sb="36" eb="38">
      <t>マイスウ</t>
    </rPh>
    <phoneticPr fontId="1"/>
  </si>
  <si>
    <r>
      <t xml:space="preserve">Un StapleのTamper用紙揃え押し込み量の調整
</t>
    </r>
    <r>
      <rPr>
        <sz val="10"/>
        <color rgb="FFFF0000"/>
        <rFont val="ＭＳ ゴシック"/>
        <family val="3"/>
        <charset val="128"/>
      </rPr>
      <t>(NVM①)</t>
    </r>
    <rPh sb="16" eb="18">
      <t>ヨウシ</t>
    </rPh>
    <rPh sb="18" eb="19">
      <t>ソロ</t>
    </rPh>
    <rPh sb="20" eb="21">
      <t>オ</t>
    </rPh>
    <rPh sb="22" eb="23">
      <t>コ</t>
    </rPh>
    <rPh sb="24" eb="25">
      <t>リョウ</t>
    </rPh>
    <rPh sb="26" eb="28">
      <t>チョウセイ</t>
    </rPh>
    <phoneticPr fontId="1"/>
  </si>
  <si>
    <r>
      <t>Right StapleのTamper用紙揃え押し込み量の調整</t>
    </r>
    <r>
      <rPr>
        <sz val="10"/>
        <color rgb="FFFF0000"/>
        <rFont val="ＭＳ ゴシック"/>
        <family val="3"/>
        <charset val="128"/>
      </rPr>
      <t>(NVM②)</t>
    </r>
    <phoneticPr fontId="1"/>
  </si>
  <si>
    <r>
      <t>セットN枚目以降のTamper用紙揃え押し込み量追加の調整</t>
    </r>
    <r>
      <rPr>
        <sz val="10"/>
        <color rgb="FFFF0000"/>
        <rFont val="ＭＳ ゴシック"/>
        <family val="3"/>
        <charset val="128"/>
      </rPr>
      <t>(NVM③)</t>
    </r>
    <phoneticPr fontId="1"/>
  </si>
  <si>
    <t>Staple時のセットラストタンピングの調整
N 枚数以上時、Tamper用紙揃え押し込み量(NVM⑤)</t>
    <rPh sb="6" eb="7">
      <t>ジ</t>
    </rPh>
    <rPh sb="20" eb="22">
      <t>チョウセイ</t>
    </rPh>
    <rPh sb="25" eb="27">
      <t>マイスウ</t>
    </rPh>
    <rPh sb="27" eb="29">
      <t>イジョウ</t>
    </rPh>
    <rPh sb="29" eb="30">
      <t>ジ</t>
    </rPh>
    <rPh sb="37" eb="39">
      <t>ヨウシ</t>
    </rPh>
    <rPh sb="39" eb="40">
      <t>ソロ</t>
    </rPh>
    <rPh sb="41" eb="42">
      <t>オ</t>
    </rPh>
    <rPh sb="43" eb="44">
      <t>コ</t>
    </rPh>
    <rPh sb="45" eb="46">
      <t>リョウ</t>
    </rPh>
    <phoneticPr fontId="1"/>
  </si>
  <si>
    <t>Staple時のセットラストタンピングの調整
N 枚数未満時、Tamper用紙揃え押し込み量(NVM⑥)</t>
    <rPh sb="6" eb="7">
      <t>ジ</t>
    </rPh>
    <rPh sb="20" eb="22">
      <t>チョウセイ</t>
    </rPh>
    <rPh sb="25" eb="27">
      <t>マイスウ</t>
    </rPh>
    <rPh sb="27" eb="29">
      <t>ミマン</t>
    </rPh>
    <rPh sb="29" eb="30">
      <t>ジ</t>
    </rPh>
    <rPh sb="37" eb="39">
      <t>ヨウシ</t>
    </rPh>
    <rPh sb="39" eb="40">
      <t>ソロ</t>
    </rPh>
    <rPh sb="41" eb="42">
      <t>オ</t>
    </rPh>
    <rPh sb="43" eb="44">
      <t>コ</t>
    </rPh>
    <rPh sb="45" eb="46">
      <t>リョウ</t>
    </rPh>
    <phoneticPr fontId="1"/>
  </si>
  <si>
    <t>時間(ms)
1Count = 10ms</t>
    <phoneticPr fontId="1"/>
  </si>
  <si>
    <t>TAMPING_ADD_PUSH_PULSE_2
未使用</t>
    <phoneticPr fontId="1"/>
  </si>
  <si>
    <t>Stacker</t>
    <phoneticPr fontId="1"/>
  </si>
  <si>
    <t>3.6.0</t>
  </si>
  <si>
    <t>3.6.0</t>
    <phoneticPr fontId="1"/>
  </si>
  <si>
    <t>3.6.0</t>
    <phoneticPr fontId="1"/>
  </si>
  <si>
    <t>1.0.0</t>
    <phoneticPr fontId="1"/>
  </si>
  <si>
    <t>STACKER_TRAY_DOWN_UN_STAPLE_TIMMING_T1 未使用</t>
    <phoneticPr fontId="1"/>
  </si>
</sst>
</file>

<file path=xl/styles.xml><?xml version="1.0" encoding="utf-8"?>
<styleSheet xmlns="http://schemas.openxmlformats.org/spreadsheetml/2006/main">
  <numFmts count="3">
    <numFmt numFmtId="176" formatCode="0_ "/>
    <numFmt numFmtId="177" formatCode="0_ ;[Red]\-0\ "/>
    <numFmt numFmtId="178" formatCode="#,##0_);[Red]\(#,##0\)"/>
  </numFmts>
  <fonts count="24">
    <font>
      <sz val="11"/>
      <name val="ＭＳ Ｐゴシック"/>
      <charset val="128"/>
    </font>
    <font>
      <sz val="6"/>
      <name val="ＭＳ Ｐゴシック"/>
      <family val="3"/>
      <charset val="128"/>
    </font>
    <font>
      <sz val="10"/>
      <name val="Xerox Sans"/>
      <family val="3"/>
    </font>
    <font>
      <sz val="6"/>
      <name val="ＭＳ Ｐゴシック"/>
      <family val="3"/>
      <charset val="128"/>
    </font>
    <font>
      <b/>
      <sz val="18"/>
      <name val="HG丸ｺﾞｼｯｸM-PRO"/>
      <family val="3"/>
      <charset val="128"/>
    </font>
    <font>
      <sz val="11"/>
      <name val="HG丸ｺﾞｼｯｸM-PRO"/>
      <family val="3"/>
      <charset val="128"/>
    </font>
    <font>
      <sz val="11"/>
      <name val="ＭＳ Ｐゴシック"/>
      <family val="3"/>
      <charset val="128"/>
    </font>
    <font>
      <sz val="6"/>
      <name val="ＭＳ Ｐゴシック"/>
      <family val="2"/>
      <charset val="128"/>
      <scheme val="minor"/>
    </font>
    <font>
      <sz val="16"/>
      <name val="Xerox Sans"/>
      <family val="3"/>
    </font>
    <font>
      <b/>
      <sz val="16"/>
      <name val="Xerox Sans"/>
      <family val="3"/>
    </font>
    <font>
      <sz val="16"/>
      <name val="HG丸ｺﾞｼｯｸM-PRO"/>
      <family val="3"/>
      <charset val="128"/>
    </font>
    <font>
      <strike/>
      <sz val="11"/>
      <color rgb="FFFF0000"/>
      <name val="ＭＳ Ｐゴシック"/>
      <family val="3"/>
      <charset val="128"/>
    </font>
    <font>
      <sz val="11"/>
      <name val="Xerox Sans"/>
      <family val="3"/>
    </font>
    <font>
      <sz val="12"/>
      <name val="Xerox Sans"/>
      <family val="3"/>
    </font>
    <font>
      <sz val="12"/>
      <name val="ＭＳ Ｐゴシック"/>
      <family val="3"/>
      <charset val="128"/>
    </font>
    <font>
      <strike/>
      <sz val="11"/>
      <color rgb="FFFF0000"/>
      <name val="Xerox Sans"/>
      <family val="3"/>
    </font>
    <font>
      <sz val="10"/>
      <color rgb="FFFF0000"/>
      <name val="HG丸ｺﾞｼｯｸM-PRO"/>
      <family val="3"/>
      <charset val="128"/>
    </font>
    <font>
      <sz val="10"/>
      <color rgb="FF0070C0"/>
      <name val="Xerox Sans"/>
      <family val="3"/>
    </font>
    <font>
      <sz val="10"/>
      <name val="ＭＳ ゴシック"/>
      <family val="3"/>
      <charset val="128"/>
    </font>
    <font>
      <sz val="9"/>
      <name val="ＭＳ ゴシック"/>
      <family val="3"/>
      <charset val="128"/>
    </font>
    <font>
      <sz val="10"/>
      <color rgb="FFFF0000"/>
      <name val="ＭＳ ゴシック"/>
      <family val="3"/>
      <charset val="128"/>
    </font>
    <font>
      <sz val="9"/>
      <color rgb="FFFF0000"/>
      <name val="ＭＳ ゴシック"/>
      <family val="3"/>
      <charset val="128"/>
    </font>
    <font>
      <sz val="11"/>
      <color rgb="FF000000"/>
      <name val="ＭＳ Ｐゴシック"/>
      <family val="3"/>
      <charset val="128"/>
    </font>
    <font>
      <strike/>
      <sz val="10"/>
      <name val="ＭＳ ゴシック"/>
      <family val="3"/>
      <charset val="128"/>
    </font>
  </fonts>
  <fills count="8">
    <fill>
      <patternFill patternType="none"/>
    </fill>
    <fill>
      <patternFill patternType="gray125"/>
    </fill>
    <fill>
      <patternFill patternType="solid">
        <fgColor rgb="FFFFFFCC"/>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34998626667073579"/>
        <bgColor indexed="64"/>
      </patternFill>
    </fill>
    <fill>
      <patternFill patternType="solid">
        <fgColor theme="0" tint="-0.49998474074526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6" fillId="0" borderId="0"/>
    <xf numFmtId="38" fontId="6" fillId="0" borderId="0" applyFont="0" applyFill="0" applyBorder="0" applyAlignment="0" applyProtection="0">
      <alignment vertical="center"/>
    </xf>
  </cellStyleXfs>
  <cellXfs count="126">
    <xf numFmtId="0" fontId="0" fillId="0" borderId="0" xfId="0"/>
    <xf numFmtId="0" fontId="6" fillId="0" borderId="0" xfId="0" applyFont="1"/>
    <xf numFmtId="0" fontId="0" fillId="0" borderId="1" xfId="0" applyBorder="1"/>
    <xf numFmtId="0" fontId="6" fillId="0" borderId="1" xfId="0" applyFont="1" applyBorder="1"/>
    <xf numFmtId="0" fontId="4" fillId="0" borderId="0" xfId="0" applyFont="1"/>
    <xf numFmtId="0" fontId="5" fillId="0" borderId="0" xfId="0" applyFont="1"/>
    <xf numFmtId="0" fontId="5" fillId="2" borderId="7" xfId="0" applyFont="1" applyFill="1" applyBorder="1" applyAlignment="1">
      <alignment horizontal="center" vertical="top"/>
    </xf>
    <xf numFmtId="14" fontId="5" fillId="0" borderId="9" xfId="0" applyNumberFormat="1" applyFont="1" applyBorder="1" applyAlignment="1">
      <alignment horizontal="center" vertical="top"/>
    </xf>
    <xf numFmtId="0" fontId="5" fillId="0" borderId="9" xfId="0" applyFont="1" applyBorder="1" applyAlignment="1">
      <alignment horizontal="left" vertical="top" wrapText="1"/>
    </xf>
    <xf numFmtId="0" fontId="5" fillId="0" borderId="9" xfId="0" applyFont="1" applyBorder="1" applyAlignment="1">
      <alignment horizontal="center" vertical="top" wrapText="1"/>
    </xf>
    <xf numFmtId="0" fontId="0" fillId="0" borderId="0" xfId="0" applyProtection="1">
      <protection locked="0"/>
    </xf>
    <xf numFmtId="0" fontId="6" fillId="0" borderId="0" xfId="0" applyFont="1" applyProtection="1">
      <protection locked="0"/>
    </xf>
    <xf numFmtId="0" fontId="6" fillId="0" borderId="0" xfId="1"/>
    <xf numFmtId="0" fontId="8" fillId="0" borderId="0" xfId="1" applyFont="1"/>
    <xf numFmtId="0" fontId="8" fillId="0" borderId="0" xfId="1" applyFont="1" applyAlignment="1">
      <alignment horizontal="center"/>
    </xf>
    <xf numFmtId="0" fontId="9" fillId="0" borderId="0" xfId="1" applyFont="1" applyBorder="1" applyAlignment="1">
      <alignment horizontal="center"/>
    </xf>
    <xf numFmtId="0" fontId="11" fillId="0" borderId="0" xfId="0" applyFont="1" applyBorder="1" applyProtection="1">
      <protection locked="0"/>
    </xf>
    <xf numFmtId="0" fontId="11" fillId="0" borderId="0" xfId="0" applyFont="1" applyFill="1" applyBorder="1" applyProtection="1">
      <protection locked="0"/>
    </xf>
    <xf numFmtId="0" fontId="12" fillId="0" borderId="0" xfId="0" applyFont="1"/>
    <xf numFmtId="0" fontId="13" fillId="0" borderId="0" xfId="0" applyFont="1"/>
    <xf numFmtId="0" fontId="13" fillId="0" borderId="0" xfId="0" applyFont="1" applyProtection="1">
      <protection locked="0"/>
    </xf>
    <xf numFmtId="0" fontId="13" fillId="0" borderId="0" xfId="0" applyFont="1" applyFill="1" applyProtection="1">
      <protection locked="0"/>
    </xf>
    <xf numFmtId="0" fontId="14" fillId="0" borderId="0" xfId="0" applyFont="1"/>
    <xf numFmtId="0" fontId="12" fillId="0" borderId="0" xfId="0" applyFont="1" applyProtection="1">
      <protection locked="0"/>
    </xf>
    <xf numFmtId="0" fontId="15" fillId="0" borderId="0" xfId="0" applyFont="1" applyBorder="1" applyProtection="1">
      <protection locked="0"/>
    </xf>
    <xf numFmtId="0" fontId="12" fillId="4" borderId="1" xfId="0" applyFont="1" applyFill="1" applyBorder="1" applyAlignment="1" applyProtection="1">
      <alignment horizontal="center" vertical="center"/>
      <protection locked="0"/>
    </xf>
    <xf numFmtId="0" fontId="15" fillId="0" borderId="0" xfId="0" applyFont="1" applyProtection="1">
      <protection locked="0"/>
    </xf>
    <xf numFmtId="0" fontId="12" fillId="0" borderId="1" xfId="0" applyFont="1" applyBorder="1" applyProtection="1"/>
    <xf numFmtId="0" fontId="12" fillId="0" borderId="3" xfId="0" applyFont="1" applyBorder="1" applyProtection="1">
      <protection locked="0"/>
    </xf>
    <xf numFmtId="0" fontId="12" fillId="0" borderId="0" xfId="0" applyFont="1" applyAlignment="1"/>
    <xf numFmtId="0" fontId="12" fillId="4" borderId="1" xfId="0" applyFont="1" applyFill="1" applyBorder="1" applyAlignment="1"/>
    <xf numFmtId="0" fontId="12" fillId="0" borderId="1" xfId="0" applyFont="1" applyBorder="1" applyAlignment="1"/>
    <xf numFmtId="0" fontId="12" fillId="0" borderId="1" xfId="0" applyFont="1" applyFill="1" applyBorder="1" applyAlignment="1"/>
    <xf numFmtId="0" fontId="12" fillId="3" borderId="1" xfId="0" applyFont="1" applyFill="1" applyBorder="1" applyAlignment="1"/>
    <xf numFmtId="0" fontId="12" fillId="0" borderId="0" xfId="0" applyFont="1" applyFill="1" applyBorder="1" applyAlignment="1"/>
    <xf numFmtId="0" fontId="18" fillId="0" borderId="2" xfId="0" applyFont="1" applyFill="1" applyBorder="1" applyAlignment="1" applyProtection="1">
      <alignment horizontal="center" vertical="top" wrapText="1"/>
      <protection locked="0"/>
    </xf>
    <xf numFmtId="0" fontId="18" fillId="0" borderId="1" xfId="0" applyFont="1" applyFill="1" applyBorder="1" applyAlignment="1" applyProtection="1">
      <alignment horizontal="center" vertical="top" wrapText="1"/>
      <protection locked="0"/>
    </xf>
    <xf numFmtId="0" fontId="18" fillId="0" borderId="2" xfId="0" applyFont="1" applyFill="1" applyBorder="1" applyAlignment="1" applyProtection="1">
      <alignment horizontal="center" vertical="top" wrapText="1"/>
    </xf>
    <xf numFmtId="0" fontId="18" fillId="0" borderId="0" xfId="0" applyFont="1" applyFill="1" applyAlignment="1" applyProtection="1">
      <alignment wrapText="1"/>
      <protection locked="0"/>
    </xf>
    <xf numFmtId="0" fontId="18" fillId="0" borderId="8" xfId="0" applyFont="1" applyFill="1" applyBorder="1" applyAlignment="1" applyProtection="1">
      <alignment horizontal="center" vertical="top" wrapText="1"/>
      <protection locked="0"/>
    </xf>
    <xf numFmtId="0" fontId="18" fillId="0" borderId="7" xfId="0" applyFont="1" applyFill="1" applyBorder="1" applyAlignment="1" applyProtection="1">
      <alignment horizontal="center" vertical="top" wrapText="1"/>
      <protection locked="0"/>
    </xf>
    <xf numFmtId="177" fontId="18" fillId="0" borderId="7" xfId="0" applyNumberFormat="1" applyFont="1" applyFill="1" applyBorder="1" applyAlignment="1" applyProtection="1">
      <alignment horizontal="center" vertical="top" wrapText="1"/>
      <protection locked="0"/>
    </xf>
    <xf numFmtId="176" fontId="18" fillId="0" borderId="7" xfId="0" applyNumberFormat="1" applyFont="1" applyFill="1" applyBorder="1" applyAlignment="1" applyProtection="1">
      <alignment horizontal="center" vertical="top" wrapText="1"/>
      <protection locked="0"/>
    </xf>
    <xf numFmtId="0" fontId="18" fillId="0" borderId="8" xfId="0" applyFont="1" applyFill="1" applyBorder="1" applyAlignment="1" applyProtection="1">
      <alignment horizontal="center" vertical="top" wrapText="1"/>
    </xf>
    <xf numFmtId="176" fontId="18" fillId="0" borderId="3" xfId="0" applyNumberFormat="1" applyFont="1" applyFill="1" applyBorder="1" applyAlignment="1" applyProtection="1">
      <alignment horizontal="center" vertical="top" wrapText="1"/>
      <protection locked="0"/>
    </xf>
    <xf numFmtId="0" fontId="18" fillId="0" borderId="3" xfId="0" applyFont="1" applyFill="1" applyBorder="1" applyAlignment="1" applyProtection="1">
      <alignment horizontal="left" vertical="top" wrapText="1"/>
      <protection locked="0"/>
    </xf>
    <xf numFmtId="49" fontId="18" fillId="0" borderId="3" xfId="0" applyNumberFormat="1" applyFont="1" applyFill="1" applyBorder="1" applyAlignment="1" applyProtection="1">
      <alignment horizontal="center" vertical="top" wrapText="1"/>
      <protection locked="0"/>
    </xf>
    <xf numFmtId="0" fontId="18" fillId="0" borderId="3" xfId="0" applyFont="1" applyFill="1" applyBorder="1" applyAlignment="1" applyProtection="1">
      <alignment horizontal="center" vertical="top" wrapText="1"/>
      <protection locked="0"/>
    </xf>
    <xf numFmtId="0" fontId="18" fillId="0" borderId="3" xfId="0" quotePrefix="1" applyFont="1" applyFill="1" applyBorder="1" applyAlignment="1" applyProtection="1">
      <alignment horizontal="center" vertical="top" wrapText="1"/>
      <protection locked="0"/>
    </xf>
    <xf numFmtId="0" fontId="18" fillId="0" borderId="3" xfId="0" applyFont="1" applyFill="1" applyBorder="1" applyAlignment="1" applyProtection="1">
      <alignment vertical="top" wrapText="1"/>
      <protection locked="0"/>
    </xf>
    <xf numFmtId="0" fontId="18" fillId="0" borderId="0" xfId="0" applyFont="1" applyFill="1" applyBorder="1" applyAlignment="1" applyProtection="1">
      <alignment wrapText="1"/>
      <protection locked="0"/>
    </xf>
    <xf numFmtId="176" fontId="18" fillId="0" borderId="1" xfId="0" applyNumberFormat="1" applyFont="1" applyFill="1" applyBorder="1" applyAlignment="1" applyProtection="1">
      <alignment horizontal="center" vertical="top" wrapText="1"/>
      <protection locked="0"/>
    </xf>
    <xf numFmtId="0" fontId="18" fillId="0" borderId="1" xfId="0" applyFont="1" applyFill="1" applyBorder="1" applyAlignment="1" applyProtection="1">
      <alignment horizontal="left" vertical="top" wrapText="1"/>
      <protection locked="0"/>
    </xf>
    <xf numFmtId="49" fontId="18" fillId="0" borderId="1" xfId="0" applyNumberFormat="1" applyFont="1" applyFill="1" applyBorder="1" applyAlignment="1" applyProtection="1">
      <alignment horizontal="center" vertical="top" wrapText="1"/>
      <protection locked="0"/>
    </xf>
    <xf numFmtId="177" fontId="18" fillId="0" borderId="1" xfId="0" applyNumberFormat="1" applyFont="1" applyFill="1" applyBorder="1" applyAlignment="1" applyProtection="1">
      <alignment horizontal="right" vertical="top" wrapText="1"/>
      <protection locked="0"/>
    </xf>
    <xf numFmtId="176" fontId="18" fillId="0" borderId="1" xfId="0" quotePrefix="1" applyNumberFormat="1" applyFont="1" applyFill="1" applyBorder="1" applyAlignment="1" applyProtection="1">
      <alignment horizontal="right" vertical="top" wrapText="1"/>
      <protection locked="0"/>
    </xf>
    <xf numFmtId="0" fontId="18" fillId="0" borderId="1" xfId="0" quotePrefix="1" applyFont="1" applyFill="1" applyBorder="1" applyAlignment="1" applyProtection="1">
      <alignment horizontal="center" vertical="top" wrapText="1"/>
      <protection locked="0"/>
    </xf>
    <xf numFmtId="0" fontId="18" fillId="0" borderId="0" xfId="0" applyFont="1" applyFill="1" applyBorder="1" applyAlignment="1" applyProtection="1">
      <alignment vertical="top" wrapText="1"/>
      <protection locked="0"/>
    </xf>
    <xf numFmtId="176" fontId="18" fillId="0" borderId="3" xfId="1" applyNumberFormat="1" applyFont="1" applyFill="1" applyBorder="1" applyAlignment="1" applyProtection="1">
      <alignment horizontal="center" vertical="top" wrapText="1"/>
      <protection locked="0"/>
    </xf>
    <xf numFmtId="0" fontId="18" fillId="0" borderId="3" xfId="1" applyFont="1" applyFill="1" applyBorder="1" applyAlignment="1" applyProtection="1">
      <alignment horizontal="left" vertical="top" wrapText="1"/>
      <protection locked="0"/>
    </xf>
    <xf numFmtId="49" fontId="18" fillId="0" borderId="3" xfId="1" applyNumberFormat="1" applyFont="1" applyFill="1" applyBorder="1" applyAlignment="1" applyProtection="1">
      <alignment horizontal="center" vertical="top" wrapText="1"/>
      <protection locked="0"/>
    </xf>
    <xf numFmtId="0" fontId="18" fillId="0" borderId="3" xfId="1" applyFont="1" applyFill="1" applyBorder="1" applyAlignment="1" applyProtection="1">
      <alignment horizontal="center" vertical="top" wrapText="1"/>
      <protection locked="0"/>
    </xf>
    <xf numFmtId="0" fontId="19" fillId="0" borderId="1" xfId="0" applyFont="1" applyFill="1" applyBorder="1" applyAlignment="1" applyProtection="1">
      <alignment horizontal="left" vertical="top" wrapText="1"/>
      <protection locked="0"/>
    </xf>
    <xf numFmtId="178" fontId="18" fillId="0" borderId="1" xfId="0" applyNumberFormat="1" applyFont="1" applyFill="1" applyBorder="1" applyAlignment="1" applyProtection="1">
      <alignment horizontal="right" vertical="top" wrapText="1"/>
      <protection locked="0"/>
    </xf>
    <xf numFmtId="0" fontId="18" fillId="0" borderId="0" xfId="0" applyFont="1" applyFill="1" applyAlignment="1">
      <alignment vertical="top"/>
    </xf>
    <xf numFmtId="0" fontId="18" fillId="0" borderId="3" xfId="0" applyFont="1" applyFill="1" applyBorder="1" applyAlignment="1" applyProtection="1">
      <alignment horizontal="center" vertical="top" wrapText="1"/>
    </xf>
    <xf numFmtId="0" fontId="18" fillId="0" borderId="3" xfId="0" applyFont="1" applyFill="1" applyBorder="1" applyAlignment="1" applyProtection="1">
      <alignment horizontal="center" wrapText="1"/>
      <protection locked="0"/>
    </xf>
    <xf numFmtId="0" fontId="18" fillId="0" borderId="1" xfId="0" applyFont="1" applyFill="1" applyBorder="1" applyAlignment="1" applyProtection="1">
      <alignment horizontal="center" vertical="top" wrapText="1"/>
    </xf>
    <xf numFmtId="0" fontId="18" fillId="0" borderId="1" xfId="0" applyFont="1" applyFill="1" applyBorder="1" applyAlignment="1" applyProtection="1">
      <alignment horizontal="center" wrapText="1"/>
      <protection locked="0"/>
    </xf>
    <xf numFmtId="0" fontId="18" fillId="0" borderId="1" xfId="0" applyFont="1" applyFill="1" applyBorder="1" applyAlignment="1" applyProtection="1">
      <alignment horizontal="center" wrapText="1"/>
    </xf>
    <xf numFmtId="0" fontId="18" fillId="0" borderId="0" xfId="0" applyFont="1" applyFill="1" applyAlignment="1" applyProtection="1">
      <alignment horizontal="center" wrapText="1"/>
      <protection locked="0"/>
    </xf>
    <xf numFmtId="0" fontId="18" fillId="0" borderId="0" xfId="0" applyFont="1" applyFill="1" applyAlignment="1" applyProtection="1">
      <alignment horizontal="center" wrapText="1"/>
    </xf>
    <xf numFmtId="177" fontId="18" fillId="0" borderId="3" xfId="0" applyNumberFormat="1" applyFont="1" applyFill="1" applyBorder="1" applyAlignment="1" applyProtection="1">
      <alignment horizontal="center" vertical="top" wrapText="1"/>
      <protection locked="0"/>
    </xf>
    <xf numFmtId="176" fontId="18" fillId="0" borderId="3" xfId="0" quotePrefix="1" applyNumberFormat="1" applyFont="1" applyFill="1" applyBorder="1" applyAlignment="1" applyProtection="1">
      <alignment horizontal="center" vertical="top" wrapText="1"/>
      <protection locked="0"/>
    </xf>
    <xf numFmtId="177" fontId="18" fillId="0" borderId="1" xfId="0" applyNumberFormat="1" applyFont="1" applyFill="1" applyBorder="1" applyAlignment="1" applyProtection="1">
      <alignment horizontal="center" vertical="top" wrapText="1"/>
      <protection locked="0"/>
    </xf>
    <xf numFmtId="176" fontId="18" fillId="0" borderId="1" xfId="0" quotePrefix="1" applyNumberFormat="1" applyFont="1" applyFill="1" applyBorder="1" applyAlignment="1" applyProtection="1">
      <alignment horizontal="center" vertical="top" wrapText="1"/>
      <protection locked="0"/>
    </xf>
    <xf numFmtId="177" fontId="18" fillId="0" borderId="3" xfId="1" applyNumberFormat="1" applyFont="1" applyFill="1" applyBorder="1" applyAlignment="1" applyProtection="1">
      <alignment horizontal="center" vertical="top" wrapText="1"/>
      <protection locked="0"/>
    </xf>
    <xf numFmtId="176" fontId="18" fillId="0" borderId="3" xfId="1" quotePrefix="1" applyNumberFormat="1" applyFont="1" applyFill="1" applyBorder="1" applyAlignment="1" applyProtection="1">
      <alignment horizontal="center" vertical="top" wrapText="1"/>
      <protection locked="0"/>
    </xf>
    <xf numFmtId="178" fontId="18" fillId="0" borderId="1" xfId="0" applyNumberFormat="1" applyFont="1" applyFill="1" applyBorder="1" applyAlignment="1" applyProtection="1">
      <alignment horizontal="center" vertical="top" wrapText="1"/>
      <protection locked="0"/>
    </xf>
    <xf numFmtId="177" fontId="18" fillId="0" borderId="0" xfId="0" applyNumberFormat="1" applyFont="1" applyFill="1" applyAlignment="1" applyProtection="1">
      <alignment horizontal="center" wrapText="1"/>
      <protection locked="0"/>
    </xf>
    <xf numFmtId="176" fontId="18" fillId="0" borderId="0" xfId="0" applyNumberFormat="1" applyFont="1" applyFill="1" applyAlignment="1" applyProtection="1">
      <alignment horizontal="center" wrapText="1"/>
      <protection locked="0"/>
    </xf>
    <xf numFmtId="176" fontId="18" fillId="5" borderId="3" xfId="0" applyNumberFormat="1" applyFont="1" applyFill="1" applyBorder="1" applyAlignment="1" applyProtection="1">
      <alignment horizontal="center" vertical="top" wrapText="1"/>
      <protection locked="0"/>
    </xf>
    <xf numFmtId="176" fontId="18" fillId="5" borderId="1" xfId="0" applyNumberFormat="1" applyFont="1" applyFill="1" applyBorder="1" applyAlignment="1" applyProtection="1">
      <alignment horizontal="center" vertical="top" wrapText="1"/>
      <protection locked="0"/>
    </xf>
    <xf numFmtId="176" fontId="18" fillId="5" borderId="3" xfId="1" applyNumberFormat="1" applyFont="1" applyFill="1" applyBorder="1" applyAlignment="1" applyProtection="1">
      <alignment horizontal="center" vertical="top" wrapText="1"/>
      <protection locked="0"/>
    </xf>
    <xf numFmtId="176" fontId="18" fillId="5" borderId="1" xfId="1" applyNumberFormat="1" applyFont="1" applyFill="1" applyBorder="1" applyAlignment="1" applyProtection="1">
      <alignment horizontal="center" vertical="top" wrapText="1"/>
      <protection locked="0"/>
    </xf>
    <xf numFmtId="176" fontId="18" fillId="6" borderId="1" xfId="0" applyNumberFormat="1" applyFont="1" applyFill="1" applyBorder="1" applyAlignment="1" applyProtection="1">
      <alignment horizontal="center" vertical="top" wrapText="1"/>
      <protection locked="0"/>
    </xf>
    <xf numFmtId="49" fontId="18" fillId="6" borderId="1" xfId="0" applyNumberFormat="1" applyFont="1" applyFill="1" applyBorder="1" applyAlignment="1" applyProtection="1">
      <alignment horizontal="center" vertical="top" wrapText="1"/>
      <protection locked="0"/>
    </xf>
    <xf numFmtId="38" fontId="18" fillId="0" borderId="1" xfId="2" applyFont="1" applyFill="1" applyBorder="1" applyAlignment="1" applyProtection="1">
      <alignment horizontal="center" vertical="top" wrapText="1"/>
      <protection locked="0"/>
    </xf>
    <xf numFmtId="0" fontId="18" fillId="6" borderId="1" xfId="0" applyFont="1" applyFill="1" applyBorder="1" applyAlignment="1" applyProtection="1">
      <alignment horizontal="left" vertical="top" wrapText="1"/>
      <protection locked="0"/>
    </xf>
    <xf numFmtId="177" fontId="18" fillId="6" borderId="1" xfId="0" applyNumberFormat="1" applyFont="1" applyFill="1" applyBorder="1" applyAlignment="1" applyProtection="1">
      <alignment horizontal="center" vertical="top" wrapText="1"/>
      <protection locked="0"/>
    </xf>
    <xf numFmtId="49" fontId="18" fillId="6" borderId="3" xfId="0" applyNumberFormat="1" applyFont="1" applyFill="1" applyBorder="1" applyAlignment="1" applyProtection="1">
      <alignment horizontal="center" vertical="top" wrapText="1"/>
      <protection locked="0"/>
    </xf>
    <xf numFmtId="177" fontId="19" fillId="0" borderId="1" xfId="0" applyNumberFormat="1" applyFont="1" applyFill="1" applyBorder="1" applyAlignment="1" applyProtection="1">
      <alignment horizontal="center" vertical="top" wrapText="1"/>
      <protection locked="0"/>
    </xf>
    <xf numFmtId="177" fontId="18" fillId="0" borderId="1" xfId="1" applyNumberFormat="1" applyFont="1" applyFill="1" applyBorder="1" applyAlignment="1" applyProtection="1">
      <alignment horizontal="center" vertical="top" wrapText="1"/>
      <protection locked="0"/>
    </xf>
    <xf numFmtId="176" fontId="20" fillId="0" borderId="1" xfId="0" applyNumberFormat="1" applyFont="1" applyFill="1" applyBorder="1" applyAlignment="1" applyProtection="1">
      <alignment horizontal="center" vertical="top" wrapText="1"/>
      <protection locked="0"/>
    </xf>
    <xf numFmtId="177" fontId="20" fillId="0" borderId="1" xfId="0" applyNumberFormat="1" applyFont="1" applyFill="1" applyBorder="1" applyAlignment="1" applyProtection="1">
      <alignment horizontal="center" vertical="top" wrapText="1"/>
      <protection locked="0"/>
    </xf>
    <xf numFmtId="0" fontId="20" fillId="0" borderId="1" xfId="0" applyFont="1" applyFill="1" applyBorder="1" applyAlignment="1" applyProtection="1">
      <alignment horizontal="left" vertical="top" wrapText="1"/>
      <protection locked="0"/>
    </xf>
    <xf numFmtId="176" fontId="20" fillId="5" borderId="1" xfId="0" applyNumberFormat="1" applyFont="1" applyFill="1" applyBorder="1" applyAlignment="1" applyProtection="1">
      <alignment horizontal="center" vertical="top" wrapText="1"/>
      <protection locked="0"/>
    </xf>
    <xf numFmtId="0" fontId="21" fillId="0" borderId="1" xfId="0" applyFont="1" applyFill="1" applyBorder="1" applyAlignment="1" applyProtection="1">
      <alignment horizontal="left" vertical="top" wrapText="1"/>
      <protection locked="0"/>
    </xf>
    <xf numFmtId="49" fontId="20" fillId="0" borderId="1" xfId="0" applyNumberFormat="1" applyFont="1" applyFill="1" applyBorder="1" applyAlignment="1" applyProtection="1">
      <alignment horizontal="center" vertical="top" wrapText="1"/>
      <protection locked="0"/>
    </xf>
    <xf numFmtId="49" fontId="20" fillId="0" borderId="3" xfId="0" applyNumberFormat="1" applyFont="1" applyFill="1" applyBorder="1" applyAlignment="1" applyProtection="1">
      <alignment horizontal="center" vertical="top" wrapText="1"/>
      <protection locked="0"/>
    </xf>
    <xf numFmtId="0" fontId="20" fillId="0" borderId="1" xfId="0" applyFont="1" applyFill="1" applyBorder="1" applyAlignment="1" applyProtection="1">
      <alignment horizontal="center" vertical="top" wrapText="1"/>
      <protection locked="0"/>
    </xf>
    <xf numFmtId="0" fontId="20" fillId="0" borderId="1" xfId="0" quotePrefix="1" applyFont="1" applyFill="1" applyBorder="1" applyAlignment="1" applyProtection="1">
      <alignment horizontal="center" vertical="top" wrapText="1"/>
      <protection locked="0"/>
    </xf>
    <xf numFmtId="0" fontId="20" fillId="0" borderId="3" xfId="0" applyFont="1" applyFill="1" applyBorder="1" applyAlignment="1" applyProtection="1">
      <alignment horizontal="center" vertical="top" wrapText="1"/>
      <protection locked="0"/>
    </xf>
    <xf numFmtId="176" fontId="20" fillId="5" borderId="3" xfId="1" applyNumberFormat="1" applyFont="1" applyFill="1" applyBorder="1" applyAlignment="1" applyProtection="1">
      <alignment horizontal="center" vertical="top" wrapText="1"/>
      <protection locked="0"/>
    </xf>
    <xf numFmtId="0" fontId="20" fillId="0" borderId="3" xfId="1" applyFont="1" applyFill="1" applyBorder="1" applyAlignment="1" applyProtection="1">
      <alignment horizontal="left" vertical="top" wrapText="1"/>
      <protection locked="0"/>
    </xf>
    <xf numFmtId="49" fontId="20" fillId="0" borderId="3" xfId="1" applyNumberFormat="1" applyFont="1" applyFill="1" applyBorder="1" applyAlignment="1" applyProtection="1">
      <alignment horizontal="center" vertical="top" wrapText="1"/>
      <protection locked="0"/>
    </xf>
    <xf numFmtId="177" fontId="20" fillId="0" borderId="3" xfId="1" applyNumberFormat="1" applyFont="1" applyFill="1" applyBorder="1" applyAlignment="1" applyProtection="1">
      <alignment horizontal="center" vertical="top" wrapText="1"/>
      <protection locked="0"/>
    </xf>
    <xf numFmtId="176" fontId="20" fillId="0" borderId="3" xfId="1" quotePrefix="1" applyNumberFormat="1" applyFont="1" applyFill="1" applyBorder="1" applyAlignment="1" applyProtection="1">
      <alignment horizontal="center" vertical="top" wrapText="1"/>
      <protection locked="0"/>
    </xf>
    <xf numFmtId="176" fontId="20" fillId="0" borderId="3" xfId="1" applyNumberFormat="1" applyFont="1" applyFill="1" applyBorder="1" applyAlignment="1" applyProtection="1">
      <alignment horizontal="center" vertical="top" wrapText="1"/>
      <protection locked="0"/>
    </xf>
    <xf numFmtId="0" fontId="20" fillId="0" borderId="3" xfId="1" applyFont="1" applyFill="1" applyBorder="1" applyAlignment="1" applyProtection="1">
      <alignment horizontal="center" vertical="top" wrapText="1"/>
      <protection locked="0"/>
    </xf>
    <xf numFmtId="176" fontId="18" fillId="7" borderId="1" xfId="0" applyNumberFormat="1" applyFont="1" applyFill="1" applyBorder="1" applyAlignment="1" applyProtection="1">
      <alignment horizontal="center" vertical="top" wrapText="1"/>
      <protection locked="0"/>
    </xf>
    <xf numFmtId="0" fontId="18" fillId="7" borderId="1" xfId="0" applyFont="1" applyFill="1" applyBorder="1" applyAlignment="1" applyProtection="1">
      <alignment horizontal="left" vertical="top" wrapText="1"/>
      <protection locked="0"/>
    </xf>
    <xf numFmtId="177" fontId="18" fillId="7" borderId="1" xfId="0" applyNumberFormat="1" applyFont="1" applyFill="1" applyBorder="1" applyAlignment="1" applyProtection="1">
      <alignment horizontal="center" vertical="top" wrapText="1"/>
      <protection locked="0"/>
    </xf>
    <xf numFmtId="49" fontId="18" fillId="7" borderId="3" xfId="0" applyNumberFormat="1" applyFont="1" applyFill="1" applyBorder="1" applyAlignment="1" applyProtection="1">
      <alignment horizontal="center" vertical="top" wrapText="1"/>
      <protection locked="0"/>
    </xf>
    <xf numFmtId="176" fontId="18" fillId="0" borderId="4" xfId="0" applyNumberFormat="1" applyFont="1" applyFill="1" applyBorder="1" applyAlignment="1" applyProtection="1">
      <alignment horizontal="center" vertical="top" wrapText="1"/>
      <protection locked="0"/>
    </xf>
    <xf numFmtId="176" fontId="18" fillId="0" borderId="6" xfId="0" applyNumberFormat="1" applyFont="1" applyFill="1" applyBorder="1" applyAlignment="1" applyProtection="1">
      <alignment horizontal="center" vertical="top" wrapText="1"/>
      <protection locked="0"/>
    </xf>
    <xf numFmtId="177" fontId="18" fillId="0" borderId="4" xfId="0" applyNumberFormat="1" applyFont="1" applyFill="1" applyBorder="1" applyAlignment="1" applyProtection="1">
      <alignment horizontal="center" vertical="top" wrapText="1"/>
      <protection locked="0"/>
    </xf>
    <xf numFmtId="177" fontId="18" fillId="0" borderId="5" xfId="0" applyNumberFormat="1" applyFont="1" applyFill="1" applyBorder="1" applyAlignment="1" applyProtection="1">
      <alignment horizontal="center" vertical="top" wrapText="1"/>
      <protection locked="0"/>
    </xf>
    <xf numFmtId="177" fontId="18" fillId="0" borderId="6" xfId="0" applyNumberFormat="1" applyFont="1" applyFill="1" applyBorder="1" applyAlignment="1" applyProtection="1">
      <alignment horizontal="center" vertical="top" wrapText="1"/>
      <protection locked="0"/>
    </xf>
    <xf numFmtId="0" fontId="12" fillId="4" borderId="4" xfId="0" applyFont="1" applyFill="1" applyBorder="1" applyAlignment="1" applyProtection="1">
      <alignment horizontal="center"/>
      <protection locked="0"/>
    </xf>
    <xf numFmtId="0" fontId="12" fillId="4" borderId="6" xfId="0" applyFont="1" applyFill="1" applyBorder="1" applyAlignment="1" applyProtection="1">
      <alignment horizontal="center"/>
      <protection locked="0"/>
    </xf>
    <xf numFmtId="0" fontId="12" fillId="0" borderId="4" xfId="0" applyFont="1" applyBorder="1" applyAlignment="1" applyProtection="1">
      <alignment horizontal="center"/>
      <protection locked="0"/>
    </xf>
    <xf numFmtId="0" fontId="12" fillId="0" borderId="6" xfId="0" applyFont="1" applyBorder="1" applyAlignment="1" applyProtection="1">
      <alignment horizontal="center"/>
      <protection locked="0"/>
    </xf>
    <xf numFmtId="0" fontId="12" fillId="0" borderId="10" xfId="0" applyFont="1" applyBorder="1" applyAlignment="1" applyProtection="1">
      <alignment horizontal="center"/>
      <protection locked="0"/>
    </xf>
    <xf numFmtId="0" fontId="12" fillId="0" borderId="11" xfId="0" applyFont="1" applyBorder="1" applyAlignment="1" applyProtection="1">
      <alignment horizontal="center"/>
      <protection locked="0"/>
    </xf>
    <xf numFmtId="49" fontId="18" fillId="7" borderId="1" xfId="0" applyNumberFormat="1" applyFont="1" applyFill="1" applyBorder="1" applyAlignment="1" applyProtection="1">
      <alignment horizontal="center" vertical="top" wrapText="1"/>
      <protection locked="0"/>
    </xf>
  </cellXfs>
  <cellStyles count="3">
    <cellStyle name="桁区切り 3" xfId="2"/>
    <cellStyle name="標準" xfId="0" builtinId="0"/>
    <cellStyle name="標準 3" xfId="1"/>
  </cellStyles>
  <dxfs count="28">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9" defaultPivotStyle="PivotStyleLight16"/>
  <colors>
    <mruColors>
      <color rgb="FFFF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7" Type="http://schemas.openxmlformats.org/officeDocument/2006/relationships/ctrlProp" Target="../ctrlProps/ctrlProp4.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sheetPr codeName="Sheet4"/>
  <dimension ref="B4:D11"/>
  <sheetViews>
    <sheetView workbookViewId="0">
      <selection activeCell="B32" sqref="B32"/>
    </sheetView>
  </sheetViews>
  <sheetFormatPr defaultRowHeight="13.5"/>
  <cols>
    <col min="2" max="2" width="39.875" bestFit="1" customWidth="1"/>
    <col min="3" max="3" width="2.875" customWidth="1"/>
    <col min="4" max="4" width="30.375" bestFit="1" customWidth="1"/>
  </cols>
  <sheetData>
    <row r="4" spans="2:4" ht="21">
      <c r="B4" s="13" t="s">
        <v>401</v>
      </c>
      <c r="C4" s="12"/>
      <c r="D4" s="13" t="s">
        <v>29</v>
      </c>
    </row>
    <row r="8" spans="2:4" ht="21">
      <c r="B8" s="13" t="s">
        <v>31</v>
      </c>
      <c r="C8" s="12"/>
      <c r="D8" s="14" t="s">
        <v>402</v>
      </c>
    </row>
    <row r="9" spans="2:4" ht="21">
      <c r="B9" s="12"/>
      <c r="C9" s="12"/>
      <c r="D9" s="14"/>
    </row>
    <row r="10" spans="2:4" ht="21">
      <c r="B10" s="12"/>
      <c r="C10" s="12"/>
      <c r="D10" s="14"/>
    </row>
    <row r="11" spans="2:4" ht="21">
      <c r="B11" s="12"/>
      <c r="C11" s="12"/>
      <c r="D11" s="15"/>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Sheet1"/>
  <dimension ref="A1:D4"/>
  <sheetViews>
    <sheetView zoomScale="85" zoomScaleNormal="85" workbookViewId="0">
      <selection activeCell="B32" sqref="B32"/>
    </sheetView>
  </sheetViews>
  <sheetFormatPr defaultColWidth="9" defaultRowHeight="13.5"/>
  <cols>
    <col min="1" max="1" width="6.125" style="5" customWidth="1"/>
    <col min="2" max="2" width="16.125" style="5" customWidth="1"/>
    <col min="3" max="3" width="112.5" style="5" customWidth="1"/>
    <col min="4" max="4" width="18.625" style="5" customWidth="1"/>
    <col min="5" max="16384" width="9" style="5"/>
  </cols>
  <sheetData>
    <row r="1" spans="1:4" ht="21">
      <c r="A1" s="4" t="s">
        <v>19</v>
      </c>
    </row>
    <row r="2" spans="1:4" ht="6.75" customHeight="1"/>
    <row r="3" spans="1:4" ht="14.25" thickBot="1">
      <c r="A3" s="6" t="s">
        <v>23</v>
      </c>
      <c r="B3" s="6" t="s">
        <v>20</v>
      </c>
      <c r="C3" s="6" t="s">
        <v>21</v>
      </c>
      <c r="D3" s="6" t="s">
        <v>25</v>
      </c>
    </row>
    <row r="4" spans="1:4" ht="14.25" thickTop="1">
      <c r="A4" s="7" t="s">
        <v>24</v>
      </c>
      <c r="B4" s="7" t="s">
        <v>32</v>
      </c>
      <c r="C4" s="8" t="s">
        <v>22</v>
      </c>
      <c r="D4" s="9" t="s">
        <v>403</v>
      </c>
    </row>
  </sheetData>
  <phoneticPr fontId="3"/>
  <pageMargins left="0.70866141732283472" right="0.70866141732283472" top="0.74803149606299213" bottom="0.74803149606299213" header="0.31496062992125984" footer="0.31496062992125984"/>
  <pageSetup paperSize="9" scale="87" orientation="landscape"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AG156"/>
  <sheetViews>
    <sheetView tabSelected="1" zoomScaleSheetLayoutView="80" zoomScalePageLayoutView="70" workbookViewId="0">
      <pane ySplit="2" topLeftCell="A51" activePane="bottomLeft" state="frozen"/>
      <selection pane="bottomLeft" activeCell="D57" sqref="D57"/>
    </sheetView>
  </sheetViews>
  <sheetFormatPr defaultRowHeight="12"/>
  <cols>
    <col min="1" max="2" width="5.625" style="38" customWidth="1"/>
    <col min="3" max="3" width="37.5" style="38" customWidth="1"/>
    <col min="4" max="4" width="29.25" style="38" customWidth="1"/>
    <col min="5" max="5" width="7.125" style="38" hidden="1" customWidth="1"/>
    <col min="6" max="6" width="7" style="79" customWidth="1"/>
    <col min="7" max="11" width="7" style="80" customWidth="1"/>
    <col min="12" max="12" width="11.5" style="80" customWidth="1"/>
    <col min="13" max="13" width="6.25" style="70" customWidth="1"/>
    <col min="14" max="14" width="37.5" style="38" customWidth="1"/>
    <col min="15" max="15" width="6.5" style="38" customWidth="1"/>
    <col min="16" max="16" width="5.625" style="38" customWidth="1"/>
    <col min="17" max="17" width="5.75" style="38" customWidth="1"/>
    <col min="18" max="18" width="5.125" style="38" customWidth="1"/>
    <col min="19" max="19" width="6.5" style="38" customWidth="1"/>
    <col min="20" max="20" width="5.375" style="38" customWidth="1"/>
    <col min="21" max="21" width="14.75" style="38" customWidth="1"/>
    <col min="22" max="22" width="9.5" style="38" customWidth="1"/>
    <col min="23" max="23" width="32.125" style="38" customWidth="1"/>
    <col min="24" max="24" width="9.625" style="70" customWidth="1"/>
    <col min="25" max="25" width="8.75" style="70" bestFit="1" customWidth="1"/>
    <col min="26" max="26" width="9" style="71"/>
    <col min="27" max="27" width="9" style="70" hidden="1" customWidth="1"/>
    <col min="28" max="28" width="10.625" style="70" hidden="1" customWidth="1"/>
    <col min="29" max="29" width="9" style="70" hidden="1" customWidth="1"/>
    <col min="30" max="30" width="9" style="71"/>
    <col min="31" max="31" width="9" style="70"/>
    <col min="32" max="16384" width="9" style="38"/>
  </cols>
  <sheetData>
    <row r="1" spans="1:33" ht="27.75" customHeight="1">
      <c r="A1" s="35" t="s">
        <v>404</v>
      </c>
      <c r="B1" s="35" t="s">
        <v>424</v>
      </c>
      <c r="C1" s="35" t="s">
        <v>425</v>
      </c>
      <c r="D1" s="35" t="s">
        <v>252</v>
      </c>
      <c r="E1" s="36" t="s">
        <v>253</v>
      </c>
      <c r="F1" s="116" t="s">
        <v>28</v>
      </c>
      <c r="G1" s="117"/>
      <c r="H1" s="117"/>
      <c r="I1" s="117"/>
      <c r="J1" s="118"/>
      <c r="K1" s="114" t="s">
        <v>254</v>
      </c>
      <c r="L1" s="115"/>
      <c r="M1" s="35" t="s">
        <v>255</v>
      </c>
      <c r="N1" s="35" t="s">
        <v>256</v>
      </c>
      <c r="O1" s="35" t="s">
        <v>426</v>
      </c>
      <c r="P1" s="35" t="s">
        <v>257</v>
      </c>
      <c r="Q1" s="35" t="s">
        <v>258</v>
      </c>
      <c r="R1" s="35" t="s">
        <v>30</v>
      </c>
      <c r="S1" s="35" t="s">
        <v>427</v>
      </c>
      <c r="T1" s="35" t="s">
        <v>428</v>
      </c>
      <c r="U1" s="35" t="s">
        <v>259</v>
      </c>
      <c r="V1" s="35" t="s">
        <v>260</v>
      </c>
      <c r="W1" s="35" t="s">
        <v>429</v>
      </c>
      <c r="X1" s="35" t="s">
        <v>261</v>
      </c>
      <c r="Y1" s="35" t="s">
        <v>262</v>
      </c>
      <c r="Z1" s="37" t="s">
        <v>430</v>
      </c>
      <c r="AA1" s="35" t="s">
        <v>263</v>
      </c>
      <c r="AB1" s="37" t="s">
        <v>431</v>
      </c>
      <c r="AC1" s="35" t="s">
        <v>264</v>
      </c>
      <c r="AD1" s="37" t="s">
        <v>265</v>
      </c>
      <c r="AE1" s="35" t="s">
        <v>266</v>
      </c>
    </row>
    <row r="2" spans="1:33" ht="12.75" thickBot="1">
      <c r="A2" s="39"/>
      <c r="B2" s="39"/>
      <c r="C2" s="39"/>
      <c r="D2" s="39"/>
      <c r="E2" s="40"/>
      <c r="F2" s="41" t="s">
        <v>432</v>
      </c>
      <c r="G2" s="42" t="s">
        <v>433</v>
      </c>
      <c r="H2" s="42" t="s">
        <v>434</v>
      </c>
      <c r="I2" s="42" t="s">
        <v>435</v>
      </c>
      <c r="J2" s="42" t="s">
        <v>436</v>
      </c>
      <c r="K2" s="42" t="s">
        <v>3</v>
      </c>
      <c r="L2" s="42" t="s">
        <v>4</v>
      </c>
      <c r="M2" s="39"/>
      <c r="N2" s="39"/>
      <c r="O2" s="39"/>
      <c r="P2" s="39"/>
      <c r="Q2" s="39"/>
      <c r="R2" s="39"/>
      <c r="S2" s="39"/>
      <c r="T2" s="39"/>
      <c r="U2" s="39"/>
      <c r="V2" s="39"/>
      <c r="W2" s="39"/>
      <c r="X2" s="39"/>
      <c r="Y2" s="39"/>
      <c r="Z2" s="43"/>
      <c r="AA2" s="39"/>
      <c r="AB2" s="43"/>
      <c r="AC2" s="39"/>
      <c r="AD2" s="43"/>
      <c r="AE2" s="39"/>
    </row>
    <row r="3" spans="1:33" ht="108.75" thickTop="1">
      <c r="A3" s="81" t="s">
        <v>106</v>
      </c>
      <c r="B3" s="81">
        <v>1</v>
      </c>
      <c r="C3" s="45" t="s">
        <v>267</v>
      </c>
      <c r="D3" s="45" t="s">
        <v>437</v>
      </c>
      <c r="E3" s="46"/>
      <c r="F3" s="72">
        <v>0</v>
      </c>
      <c r="G3" s="73">
        <v>0</v>
      </c>
      <c r="H3" s="73">
        <v>0</v>
      </c>
      <c r="I3" s="73">
        <v>0</v>
      </c>
      <c r="J3" s="73">
        <v>0</v>
      </c>
      <c r="K3" s="44">
        <v>0</v>
      </c>
      <c r="L3" s="44">
        <v>3</v>
      </c>
      <c r="M3" s="46" t="s">
        <v>200</v>
      </c>
      <c r="N3" s="45" t="s">
        <v>662</v>
      </c>
      <c r="O3" s="47" t="s">
        <v>205</v>
      </c>
      <c r="P3" s="47" t="s">
        <v>204</v>
      </c>
      <c r="Q3" s="47" t="s">
        <v>205</v>
      </c>
      <c r="R3" s="36" t="s">
        <v>205</v>
      </c>
      <c r="S3" s="48" t="s">
        <v>204</v>
      </c>
      <c r="T3" s="47" t="s">
        <v>204</v>
      </c>
      <c r="U3" s="45"/>
      <c r="V3" s="47" t="s">
        <v>242</v>
      </c>
      <c r="W3" s="45" t="s">
        <v>438</v>
      </c>
      <c r="X3" s="47" t="s">
        <v>681</v>
      </c>
      <c r="Y3" s="48"/>
      <c r="Z3" s="65">
        <v>0</v>
      </c>
      <c r="AA3" s="47"/>
      <c r="AB3" s="65"/>
      <c r="AC3" s="47"/>
      <c r="AD3" s="65">
        <v>0</v>
      </c>
      <c r="AE3" s="66"/>
      <c r="AG3" s="50"/>
    </row>
    <row r="4" spans="1:33" ht="24">
      <c r="A4" s="82" t="s">
        <v>106</v>
      </c>
      <c r="B4" s="82">
        <v>2</v>
      </c>
      <c r="C4" s="52" t="s">
        <v>107</v>
      </c>
      <c r="D4" s="52" t="s">
        <v>363</v>
      </c>
      <c r="E4" s="53"/>
      <c r="F4" s="74">
        <v>0</v>
      </c>
      <c r="G4" s="75">
        <v>0</v>
      </c>
      <c r="H4" s="75">
        <v>0</v>
      </c>
      <c r="I4" s="75">
        <v>0</v>
      </c>
      <c r="J4" s="75">
        <v>0</v>
      </c>
      <c r="K4" s="51">
        <v>0</v>
      </c>
      <c r="L4" s="51">
        <v>65535</v>
      </c>
      <c r="M4" s="53" t="s">
        <v>201</v>
      </c>
      <c r="N4" s="52" t="s">
        <v>268</v>
      </c>
      <c r="O4" s="36" t="s">
        <v>205</v>
      </c>
      <c r="P4" s="36" t="s">
        <v>204</v>
      </c>
      <c r="Q4" s="36" t="s">
        <v>204</v>
      </c>
      <c r="R4" s="36" t="s">
        <v>205</v>
      </c>
      <c r="S4" s="56" t="s">
        <v>204</v>
      </c>
      <c r="T4" s="36" t="s">
        <v>204</v>
      </c>
      <c r="U4" s="52"/>
      <c r="V4" s="36" t="s">
        <v>242</v>
      </c>
      <c r="W4" s="52" t="s">
        <v>439</v>
      </c>
      <c r="X4" s="47" t="s">
        <v>681</v>
      </c>
      <c r="Y4" s="56"/>
      <c r="Z4" s="36">
        <v>4</v>
      </c>
      <c r="AA4" s="36"/>
      <c r="AB4" s="67"/>
      <c r="AC4" s="36"/>
      <c r="AD4" s="67">
        <v>1</v>
      </c>
      <c r="AE4" s="68"/>
      <c r="AG4" s="57"/>
    </row>
    <row r="5" spans="1:33" ht="24">
      <c r="A5" s="82" t="s">
        <v>106</v>
      </c>
      <c r="B5" s="82">
        <v>3</v>
      </c>
      <c r="C5" s="52" t="s">
        <v>108</v>
      </c>
      <c r="D5" s="52" t="s">
        <v>364</v>
      </c>
      <c r="E5" s="53"/>
      <c r="F5" s="74">
        <v>0</v>
      </c>
      <c r="G5" s="75">
        <v>0</v>
      </c>
      <c r="H5" s="75">
        <v>0</v>
      </c>
      <c r="I5" s="75">
        <v>0</v>
      </c>
      <c r="J5" s="75">
        <v>0</v>
      </c>
      <c r="K5" s="51">
        <v>0</v>
      </c>
      <c r="L5" s="51">
        <v>65535</v>
      </c>
      <c r="M5" s="53" t="s">
        <v>201</v>
      </c>
      <c r="N5" s="52" t="s">
        <v>269</v>
      </c>
      <c r="O5" s="36" t="s">
        <v>205</v>
      </c>
      <c r="P5" s="36" t="s">
        <v>204</v>
      </c>
      <c r="Q5" s="36" t="s">
        <v>204</v>
      </c>
      <c r="R5" s="36" t="s">
        <v>205</v>
      </c>
      <c r="S5" s="56" t="s">
        <v>204</v>
      </c>
      <c r="T5" s="36" t="s">
        <v>204</v>
      </c>
      <c r="U5" s="52"/>
      <c r="V5" s="36" t="s">
        <v>242</v>
      </c>
      <c r="W5" s="52" t="s">
        <v>440</v>
      </c>
      <c r="X5" s="47" t="s">
        <v>681</v>
      </c>
      <c r="Y5" s="56"/>
      <c r="Z5" s="36">
        <v>6</v>
      </c>
      <c r="AA5" s="36"/>
      <c r="AB5" s="67"/>
      <c r="AC5" s="36"/>
      <c r="AD5" s="67">
        <v>3</v>
      </c>
      <c r="AE5" s="68"/>
      <c r="AG5" s="57"/>
    </row>
    <row r="6" spans="1:33" ht="24">
      <c r="A6" s="82" t="s">
        <v>106</v>
      </c>
      <c r="B6" s="82">
        <v>4</v>
      </c>
      <c r="C6" s="52" t="s">
        <v>109</v>
      </c>
      <c r="D6" s="52" t="s">
        <v>110</v>
      </c>
      <c r="E6" s="53"/>
      <c r="F6" s="74">
        <v>0</v>
      </c>
      <c r="G6" s="75">
        <v>0</v>
      </c>
      <c r="H6" s="75">
        <v>0</v>
      </c>
      <c r="I6" s="75">
        <v>0</v>
      </c>
      <c r="J6" s="75">
        <v>0</v>
      </c>
      <c r="K6" s="51">
        <v>0</v>
      </c>
      <c r="L6" s="51">
        <v>65535</v>
      </c>
      <c r="M6" s="53" t="s">
        <v>201</v>
      </c>
      <c r="N6" s="52" t="s">
        <v>270</v>
      </c>
      <c r="O6" s="36" t="s">
        <v>205</v>
      </c>
      <c r="P6" s="36" t="s">
        <v>204</v>
      </c>
      <c r="Q6" s="36" t="s">
        <v>204</v>
      </c>
      <c r="R6" s="36" t="s">
        <v>205</v>
      </c>
      <c r="S6" s="56" t="s">
        <v>204</v>
      </c>
      <c r="T6" s="36" t="s">
        <v>204</v>
      </c>
      <c r="U6" s="52"/>
      <c r="V6" s="36" t="s">
        <v>242</v>
      </c>
      <c r="W6" s="52" t="s">
        <v>441</v>
      </c>
      <c r="X6" s="47" t="s">
        <v>681</v>
      </c>
      <c r="Y6" s="56"/>
      <c r="Z6" s="67">
        <v>8</v>
      </c>
      <c r="AA6" s="36"/>
      <c r="AB6" s="67"/>
      <c r="AC6" s="36"/>
      <c r="AD6" s="67">
        <v>5</v>
      </c>
      <c r="AE6" s="68"/>
    </row>
    <row r="7" spans="1:33">
      <c r="A7" s="103" t="s">
        <v>106</v>
      </c>
      <c r="B7" s="103">
        <v>5</v>
      </c>
      <c r="C7" s="104" t="s">
        <v>683</v>
      </c>
      <c r="D7" s="104" t="s">
        <v>682</v>
      </c>
      <c r="E7" s="105"/>
      <c r="F7" s="106">
        <v>0</v>
      </c>
      <c r="G7" s="107">
        <v>0</v>
      </c>
      <c r="H7" s="107">
        <v>0</v>
      </c>
      <c r="I7" s="107">
        <v>0</v>
      </c>
      <c r="J7" s="107">
        <v>0</v>
      </c>
      <c r="K7" s="108">
        <v>0</v>
      </c>
      <c r="L7" s="108">
        <v>65535</v>
      </c>
      <c r="M7" s="105" t="s">
        <v>201</v>
      </c>
      <c r="N7" s="104" t="s">
        <v>684</v>
      </c>
      <c r="O7" s="109" t="s">
        <v>205</v>
      </c>
      <c r="P7" s="109" t="s">
        <v>204</v>
      </c>
      <c r="Q7" s="109" t="s">
        <v>204</v>
      </c>
      <c r="R7" s="100" t="s">
        <v>205</v>
      </c>
      <c r="S7" s="109" t="s">
        <v>204</v>
      </c>
      <c r="T7" s="109" t="s">
        <v>204</v>
      </c>
      <c r="U7" s="104"/>
      <c r="V7" s="109" t="s">
        <v>242</v>
      </c>
      <c r="W7" s="104" t="s">
        <v>685</v>
      </c>
      <c r="X7" s="102" t="s">
        <v>681</v>
      </c>
      <c r="Y7" s="48"/>
      <c r="Z7" s="67">
        <v>10</v>
      </c>
      <c r="AA7" s="36"/>
      <c r="AB7" s="67"/>
      <c r="AC7" s="36"/>
      <c r="AD7" s="67">
        <v>7</v>
      </c>
      <c r="AE7" s="68"/>
    </row>
    <row r="8" spans="1:33" ht="60">
      <c r="A8" s="83" t="s">
        <v>106</v>
      </c>
      <c r="B8" s="83">
        <v>6</v>
      </c>
      <c r="C8" s="59" t="s">
        <v>271</v>
      </c>
      <c r="D8" s="59" t="s">
        <v>111</v>
      </c>
      <c r="E8" s="60"/>
      <c r="F8" s="76">
        <v>0</v>
      </c>
      <c r="G8" s="77">
        <v>0</v>
      </c>
      <c r="H8" s="77">
        <v>0</v>
      </c>
      <c r="I8" s="77">
        <v>0</v>
      </c>
      <c r="J8" s="77">
        <v>0</v>
      </c>
      <c r="K8" s="58">
        <v>0</v>
      </c>
      <c r="L8" s="58">
        <v>1</v>
      </c>
      <c r="M8" s="60" t="s">
        <v>200</v>
      </c>
      <c r="N8" s="59" t="s">
        <v>272</v>
      </c>
      <c r="O8" s="61" t="s">
        <v>205</v>
      </c>
      <c r="P8" s="61" t="s">
        <v>205</v>
      </c>
      <c r="Q8" s="61" t="s">
        <v>205</v>
      </c>
      <c r="R8" s="36" t="s">
        <v>205</v>
      </c>
      <c r="S8" s="61" t="s">
        <v>204</v>
      </c>
      <c r="T8" s="61" t="s">
        <v>204</v>
      </c>
      <c r="U8" s="59"/>
      <c r="V8" s="61" t="s">
        <v>242</v>
      </c>
      <c r="W8" s="59" t="s">
        <v>442</v>
      </c>
      <c r="X8" s="47" t="s">
        <v>681</v>
      </c>
      <c r="Y8" s="56"/>
      <c r="Z8" s="67">
        <v>1</v>
      </c>
      <c r="AA8" s="36"/>
      <c r="AB8" s="67"/>
      <c r="AC8" s="36"/>
      <c r="AD8" s="67">
        <v>9</v>
      </c>
      <c r="AE8" s="68"/>
    </row>
    <row r="9" spans="1:33" ht="36">
      <c r="A9" s="81" t="s">
        <v>106</v>
      </c>
      <c r="B9" s="81">
        <v>7</v>
      </c>
      <c r="C9" s="45" t="s">
        <v>273</v>
      </c>
      <c r="D9" s="45" t="s">
        <v>443</v>
      </c>
      <c r="E9" s="46"/>
      <c r="F9" s="72">
        <v>0</v>
      </c>
      <c r="G9" s="44">
        <v>0</v>
      </c>
      <c r="H9" s="44">
        <v>0</v>
      </c>
      <c r="I9" s="44">
        <v>0</v>
      </c>
      <c r="J9" s="44">
        <v>0</v>
      </c>
      <c r="K9" s="44">
        <v>0</v>
      </c>
      <c r="L9" s="44">
        <v>1</v>
      </c>
      <c r="M9" s="46" t="s">
        <v>200</v>
      </c>
      <c r="N9" s="45" t="s">
        <v>274</v>
      </c>
      <c r="O9" s="47" t="s">
        <v>204</v>
      </c>
      <c r="P9" s="47" t="s">
        <v>205</v>
      </c>
      <c r="Q9" s="47" t="s">
        <v>205</v>
      </c>
      <c r="R9" s="36" t="s">
        <v>205</v>
      </c>
      <c r="S9" s="47" t="s">
        <v>204</v>
      </c>
      <c r="T9" s="47" t="s">
        <v>204</v>
      </c>
      <c r="U9" s="45" t="s">
        <v>275</v>
      </c>
      <c r="V9" s="47" t="s">
        <v>242</v>
      </c>
      <c r="W9" s="45" t="s">
        <v>444</v>
      </c>
      <c r="X9" s="47" t="s">
        <v>681</v>
      </c>
      <c r="Y9" s="48"/>
      <c r="Z9" s="67">
        <v>2</v>
      </c>
      <c r="AA9" s="36"/>
      <c r="AB9" s="67"/>
      <c r="AC9" s="36"/>
      <c r="AD9" s="67">
        <v>10</v>
      </c>
      <c r="AE9" s="68"/>
    </row>
    <row r="10" spans="1:33" ht="72">
      <c r="A10" s="81" t="s">
        <v>106</v>
      </c>
      <c r="B10" s="81">
        <v>8</v>
      </c>
      <c r="C10" s="45" t="s">
        <v>276</v>
      </c>
      <c r="D10" s="45" t="s">
        <v>445</v>
      </c>
      <c r="E10" s="46"/>
      <c r="F10" s="72">
        <v>50</v>
      </c>
      <c r="G10" s="44">
        <v>50</v>
      </c>
      <c r="H10" s="44">
        <v>50</v>
      </c>
      <c r="I10" s="44">
        <v>50</v>
      </c>
      <c r="J10" s="44">
        <v>50</v>
      </c>
      <c r="K10" s="44">
        <v>25</v>
      </c>
      <c r="L10" s="44">
        <v>75</v>
      </c>
      <c r="M10" s="46" t="s">
        <v>200</v>
      </c>
      <c r="N10" s="45" t="s">
        <v>277</v>
      </c>
      <c r="O10" s="47" t="s">
        <v>205</v>
      </c>
      <c r="P10" s="47" t="s">
        <v>205</v>
      </c>
      <c r="Q10" s="47" t="s">
        <v>205</v>
      </c>
      <c r="R10" s="36" t="s">
        <v>205</v>
      </c>
      <c r="S10" s="47" t="s">
        <v>204</v>
      </c>
      <c r="T10" s="47" t="s">
        <v>204</v>
      </c>
      <c r="U10" s="45"/>
      <c r="V10" s="47" t="s">
        <v>242</v>
      </c>
      <c r="W10" s="45" t="s">
        <v>446</v>
      </c>
      <c r="X10" s="47" t="s">
        <v>681</v>
      </c>
      <c r="Y10" s="48"/>
      <c r="Z10" s="67">
        <v>3</v>
      </c>
      <c r="AA10" s="36"/>
      <c r="AB10" s="67"/>
      <c r="AC10" s="36"/>
      <c r="AD10" s="67">
        <v>11</v>
      </c>
      <c r="AE10" s="68"/>
    </row>
    <row r="11" spans="1:33" ht="72">
      <c r="A11" s="81" t="s">
        <v>106</v>
      </c>
      <c r="B11" s="81">
        <v>9</v>
      </c>
      <c r="C11" s="45" t="s">
        <v>278</v>
      </c>
      <c r="D11" s="45" t="s">
        <v>447</v>
      </c>
      <c r="E11" s="46"/>
      <c r="F11" s="72">
        <v>50</v>
      </c>
      <c r="G11" s="44">
        <v>50</v>
      </c>
      <c r="H11" s="44">
        <v>50</v>
      </c>
      <c r="I11" s="44">
        <v>50</v>
      </c>
      <c r="J11" s="44">
        <v>50</v>
      </c>
      <c r="K11" s="44">
        <v>25</v>
      </c>
      <c r="L11" s="44">
        <v>75</v>
      </c>
      <c r="M11" s="46" t="s">
        <v>200</v>
      </c>
      <c r="N11" s="45" t="s">
        <v>279</v>
      </c>
      <c r="O11" s="47" t="s">
        <v>205</v>
      </c>
      <c r="P11" s="47" t="s">
        <v>205</v>
      </c>
      <c r="Q11" s="47" t="s">
        <v>205</v>
      </c>
      <c r="R11" s="36" t="s">
        <v>205</v>
      </c>
      <c r="S11" s="47" t="s">
        <v>204</v>
      </c>
      <c r="T11" s="47" t="s">
        <v>204</v>
      </c>
      <c r="U11" s="45"/>
      <c r="V11" s="47" t="s">
        <v>242</v>
      </c>
      <c r="W11" s="45" t="s">
        <v>448</v>
      </c>
      <c r="X11" s="47" t="s">
        <v>681</v>
      </c>
      <c r="Y11" s="48"/>
      <c r="Z11" s="67">
        <v>12</v>
      </c>
      <c r="AA11" s="36"/>
      <c r="AB11" s="67"/>
      <c r="AC11" s="36"/>
      <c r="AD11" s="67">
        <v>12</v>
      </c>
      <c r="AE11" s="68"/>
    </row>
    <row r="12" spans="1:33" ht="72">
      <c r="A12" s="81" t="s">
        <v>106</v>
      </c>
      <c r="B12" s="81">
        <v>10</v>
      </c>
      <c r="C12" s="45" t="s">
        <v>280</v>
      </c>
      <c r="D12" s="45" t="s">
        <v>449</v>
      </c>
      <c r="E12" s="46"/>
      <c r="F12" s="72">
        <v>30</v>
      </c>
      <c r="G12" s="44">
        <v>30</v>
      </c>
      <c r="H12" s="44">
        <v>30</v>
      </c>
      <c r="I12" s="44">
        <v>30</v>
      </c>
      <c r="J12" s="44">
        <v>30</v>
      </c>
      <c r="K12" s="44">
        <v>2</v>
      </c>
      <c r="L12" s="44">
        <v>75</v>
      </c>
      <c r="M12" s="46" t="s">
        <v>200</v>
      </c>
      <c r="N12" s="45" t="s">
        <v>281</v>
      </c>
      <c r="O12" s="47" t="s">
        <v>205</v>
      </c>
      <c r="P12" s="47" t="s">
        <v>205</v>
      </c>
      <c r="Q12" s="47" t="s">
        <v>205</v>
      </c>
      <c r="R12" s="36" t="s">
        <v>205</v>
      </c>
      <c r="S12" s="47" t="s">
        <v>204</v>
      </c>
      <c r="T12" s="47" t="s">
        <v>204</v>
      </c>
      <c r="U12" s="45"/>
      <c r="V12" s="47" t="s">
        <v>242</v>
      </c>
      <c r="W12" s="45" t="s">
        <v>450</v>
      </c>
      <c r="X12" s="47" t="s">
        <v>681</v>
      </c>
      <c r="Y12" s="48"/>
      <c r="Z12" s="67">
        <v>13</v>
      </c>
      <c r="AA12" s="36"/>
      <c r="AB12" s="67"/>
      <c r="AC12" s="36"/>
      <c r="AD12" s="67">
        <v>13</v>
      </c>
      <c r="AE12" s="68"/>
    </row>
    <row r="13" spans="1:33" ht="72">
      <c r="A13" s="81" t="s">
        <v>106</v>
      </c>
      <c r="B13" s="81">
        <v>11</v>
      </c>
      <c r="C13" s="45" t="s">
        <v>282</v>
      </c>
      <c r="D13" s="45" t="s">
        <v>451</v>
      </c>
      <c r="E13" s="46"/>
      <c r="F13" s="72">
        <v>25</v>
      </c>
      <c r="G13" s="44">
        <v>25</v>
      </c>
      <c r="H13" s="44">
        <v>25</v>
      </c>
      <c r="I13" s="44">
        <v>25</v>
      </c>
      <c r="J13" s="44">
        <v>25</v>
      </c>
      <c r="K13" s="44">
        <v>2</v>
      </c>
      <c r="L13" s="44">
        <v>75</v>
      </c>
      <c r="M13" s="46" t="s">
        <v>200</v>
      </c>
      <c r="N13" s="45" t="s">
        <v>283</v>
      </c>
      <c r="O13" s="47" t="s">
        <v>205</v>
      </c>
      <c r="P13" s="47" t="s">
        <v>205</v>
      </c>
      <c r="Q13" s="47" t="s">
        <v>205</v>
      </c>
      <c r="R13" s="36" t="s">
        <v>205</v>
      </c>
      <c r="S13" s="47" t="s">
        <v>204</v>
      </c>
      <c r="T13" s="47" t="s">
        <v>204</v>
      </c>
      <c r="U13" s="45"/>
      <c r="V13" s="47" t="s">
        <v>242</v>
      </c>
      <c r="W13" s="45" t="s">
        <v>452</v>
      </c>
      <c r="X13" s="47" t="s">
        <v>681</v>
      </c>
      <c r="Y13" s="48"/>
      <c r="Z13" s="67">
        <v>14</v>
      </c>
      <c r="AA13" s="36"/>
      <c r="AB13" s="67"/>
      <c r="AC13" s="36"/>
      <c r="AD13" s="67">
        <v>14</v>
      </c>
      <c r="AE13" s="68"/>
    </row>
    <row r="14" spans="1:33" ht="72">
      <c r="A14" s="81" t="s">
        <v>106</v>
      </c>
      <c r="B14" s="81">
        <v>12</v>
      </c>
      <c r="C14" s="45" t="s">
        <v>284</v>
      </c>
      <c r="D14" s="45" t="s">
        <v>453</v>
      </c>
      <c r="E14" s="46"/>
      <c r="F14" s="72">
        <v>20</v>
      </c>
      <c r="G14" s="44">
        <v>20</v>
      </c>
      <c r="H14" s="44">
        <v>20</v>
      </c>
      <c r="I14" s="44">
        <v>20</v>
      </c>
      <c r="J14" s="44">
        <v>20</v>
      </c>
      <c r="K14" s="44">
        <v>2</v>
      </c>
      <c r="L14" s="44">
        <v>75</v>
      </c>
      <c r="M14" s="46" t="s">
        <v>200</v>
      </c>
      <c r="N14" s="45" t="s">
        <v>285</v>
      </c>
      <c r="O14" s="47" t="s">
        <v>205</v>
      </c>
      <c r="P14" s="47" t="s">
        <v>205</v>
      </c>
      <c r="Q14" s="47" t="s">
        <v>205</v>
      </c>
      <c r="R14" s="36" t="s">
        <v>205</v>
      </c>
      <c r="S14" s="47" t="s">
        <v>204</v>
      </c>
      <c r="T14" s="47" t="s">
        <v>204</v>
      </c>
      <c r="U14" s="45"/>
      <c r="V14" s="47" t="s">
        <v>242</v>
      </c>
      <c r="W14" s="45" t="s">
        <v>454</v>
      </c>
      <c r="X14" s="47" t="s">
        <v>681</v>
      </c>
      <c r="Y14" s="48"/>
      <c r="Z14" s="67">
        <v>15</v>
      </c>
      <c r="AA14" s="36"/>
      <c r="AB14" s="67"/>
      <c r="AC14" s="36"/>
      <c r="AD14" s="67">
        <v>15</v>
      </c>
      <c r="AE14" s="68"/>
    </row>
    <row r="15" spans="1:33" ht="72">
      <c r="A15" s="81" t="s">
        <v>106</v>
      </c>
      <c r="B15" s="81">
        <v>13</v>
      </c>
      <c r="C15" s="45" t="s">
        <v>286</v>
      </c>
      <c r="D15" s="45" t="s">
        <v>455</v>
      </c>
      <c r="E15" s="46"/>
      <c r="F15" s="72">
        <v>15</v>
      </c>
      <c r="G15" s="44">
        <v>15</v>
      </c>
      <c r="H15" s="44">
        <v>15</v>
      </c>
      <c r="I15" s="44">
        <v>15</v>
      </c>
      <c r="J15" s="44">
        <v>15</v>
      </c>
      <c r="K15" s="44">
        <v>2</v>
      </c>
      <c r="L15" s="44">
        <v>75</v>
      </c>
      <c r="M15" s="46" t="s">
        <v>200</v>
      </c>
      <c r="N15" s="45" t="s">
        <v>287</v>
      </c>
      <c r="O15" s="47" t="s">
        <v>205</v>
      </c>
      <c r="P15" s="47" t="s">
        <v>205</v>
      </c>
      <c r="Q15" s="47" t="s">
        <v>205</v>
      </c>
      <c r="R15" s="36" t="s">
        <v>205</v>
      </c>
      <c r="S15" s="47" t="s">
        <v>204</v>
      </c>
      <c r="T15" s="47" t="s">
        <v>204</v>
      </c>
      <c r="U15" s="45"/>
      <c r="V15" s="47" t="s">
        <v>242</v>
      </c>
      <c r="W15" s="45" t="s">
        <v>456</v>
      </c>
      <c r="X15" s="47" t="s">
        <v>681</v>
      </c>
      <c r="Y15" s="48"/>
      <c r="Z15" s="67">
        <v>16</v>
      </c>
      <c r="AA15" s="36"/>
      <c r="AB15" s="67"/>
      <c r="AC15" s="36"/>
      <c r="AD15" s="67">
        <v>16</v>
      </c>
      <c r="AE15" s="68"/>
    </row>
    <row r="16" spans="1:33" ht="72">
      <c r="A16" s="81" t="s">
        <v>106</v>
      </c>
      <c r="B16" s="81">
        <v>14</v>
      </c>
      <c r="C16" s="45" t="s">
        <v>288</v>
      </c>
      <c r="D16" s="45" t="s">
        <v>457</v>
      </c>
      <c r="E16" s="46"/>
      <c r="F16" s="72">
        <v>10</v>
      </c>
      <c r="G16" s="44">
        <v>10</v>
      </c>
      <c r="H16" s="44">
        <v>10</v>
      </c>
      <c r="I16" s="44">
        <v>10</v>
      </c>
      <c r="J16" s="44">
        <v>10</v>
      </c>
      <c r="K16" s="44">
        <v>2</v>
      </c>
      <c r="L16" s="44">
        <v>75</v>
      </c>
      <c r="M16" s="46" t="s">
        <v>200</v>
      </c>
      <c r="N16" s="45" t="s">
        <v>289</v>
      </c>
      <c r="O16" s="47" t="s">
        <v>205</v>
      </c>
      <c r="P16" s="47" t="s">
        <v>205</v>
      </c>
      <c r="Q16" s="47" t="s">
        <v>205</v>
      </c>
      <c r="R16" s="36" t="s">
        <v>205</v>
      </c>
      <c r="S16" s="47" t="s">
        <v>204</v>
      </c>
      <c r="T16" s="47" t="s">
        <v>204</v>
      </c>
      <c r="U16" s="45"/>
      <c r="V16" s="47" t="s">
        <v>242</v>
      </c>
      <c r="W16" s="45" t="s">
        <v>458</v>
      </c>
      <c r="X16" s="47" t="s">
        <v>681</v>
      </c>
      <c r="Y16" s="56"/>
      <c r="Z16" s="69">
        <v>17</v>
      </c>
      <c r="AA16" s="68"/>
      <c r="AB16" s="69"/>
      <c r="AC16" s="68"/>
      <c r="AD16" s="69">
        <v>17</v>
      </c>
      <c r="AE16" s="68"/>
    </row>
    <row r="17" spans="1:31" ht="72">
      <c r="A17" s="81" t="s">
        <v>106</v>
      </c>
      <c r="B17" s="81">
        <v>15</v>
      </c>
      <c r="C17" s="45" t="s">
        <v>290</v>
      </c>
      <c r="D17" s="45" t="s">
        <v>459</v>
      </c>
      <c r="E17" s="46"/>
      <c r="F17" s="72">
        <v>15</v>
      </c>
      <c r="G17" s="44">
        <v>15</v>
      </c>
      <c r="H17" s="44">
        <v>15</v>
      </c>
      <c r="I17" s="44">
        <v>15</v>
      </c>
      <c r="J17" s="44">
        <v>15</v>
      </c>
      <c r="K17" s="44">
        <v>2</v>
      </c>
      <c r="L17" s="44">
        <v>75</v>
      </c>
      <c r="M17" s="46" t="s">
        <v>200</v>
      </c>
      <c r="N17" s="45" t="s">
        <v>291</v>
      </c>
      <c r="O17" s="47" t="s">
        <v>205</v>
      </c>
      <c r="P17" s="47" t="s">
        <v>205</v>
      </c>
      <c r="Q17" s="47" t="s">
        <v>205</v>
      </c>
      <c r="R17" s="36" t="s">
        <v>205</v>
      </c>
      <c r="S17" s="47" t="s">
        <v>204</v>
      </c>
      <c r="T17" s="47" t="s">
        <v>204</v>
      </c>
      <c r="U17" s="45"/>
      <c r="V17" s="47" t="s">
        <v>242</v>
      </c>
      <c r="W17" s="45" t="s">
        <v>460</v>
      </c>
      <c r="X17" s="47" t="s">
        <v>681</v>
      </c>
      <c r="Y17" s="56"/>
      <c r="Z17" s="69">
        <v>18</v>
      </c>
      <c r="AA17" s="68"/>
      <c r="AB17" s="69"/>
      <c r="AC17" s="68"/>
      <c r="AD17" s="69">
        <v>18</v>
      </c>
      <c r="AE17" s="68"/>
    </row>
    <row r="18" spans="1:31" ht="72">
      <c r="A18" s="81" t="s">
        <v>106</v>
      </c>
      <c r="B18" s="81">
        <v>16</v>
      </c>
      <c r="C18" s="45" t="s">
        <v>292</v>
      </c>
      <c r="D18" s="45" t="s">
        <v>461</v>
      </c>
      <c r="E18" s="46"/>
      <c r="F18" s="72">
        <v>10</v>
      </c>
      <c r="G18" s="44">
        <v>10</v>
      </c>
      <c r="H18" s="44">
        <v>10</v>
      </c>
      <c r="I18" s="44">
        <v>10</v>
      </c>
      <c r="J18" s="44">
        <v>10</v>
      </c>
      <c r="K18" s="44">
        <v>2</v>
      </c>
      <c r="L18" s="44">
        <v>75</v>
      </c>
      <c r="M18" s="46" t="s">
        <v>200</v>
      </c>
      <c r="N18" s="45" t="s">
        <v>293</v>
      </c>
      <c r="O18" s="47" t="s">
        <v>205</v>
      </c>
      <c r="P18" s="47" t="s">
        <v>205</v>
      </c>
      <c r="Q18" s="47" t="s">
        <v>205</v>
      </c>
      <c r="R18" s="36" t="s">
        <v>205</v>
      </c>
      <c r="S18" s="47" t="s">
        <v>204</v>
      </c>
      <c r="T18" s="47" t="s">
        <v>204</v>
      </c>
      <c r="U18" s="45"/>
      <c r="V18" s="47" t="s">
        <v>242</v>
      </c>
      <c r="W18" s="45" t="s">
        <v>462</v>
      </c>
      <c r="X18" s="47" t="s">
        <v>681</v>
      </c>
      <c r="Y18" s="56"/>
      <c r="Z18" s="69">
        <v>19</v>
      </c>
      <c r="AA18" s="68"/>
      <c r="AB18" s="69"/>
      <c r="AC18" s="68"/>
      <c r="AD18" s="69">
        <v>19</v>
      </c>
      <c r="AE18" s="68"/>
    </row>
    <row r="19" spans="1:31" ht="72">
      <c r="A19" s="81" t="s">
        <v>106</v>
      </c>
      <c r="B19" s="81">
        <v>17</v>
      </c>
      <c r="C19" s="45" t="s">
        <v>294</v>
      </c>
      <c r="D19" s="45" t="s">
        <v>463</v>
      </c>
      <c r="E19" s="46"/>
      <c r="F19" s="72">
        <v>7</v>
      </c>
      <c r="G19" s="44">
        <v>7</v>
      </c>
      <c r="H19" s="44">
        <v>7</v>
      </c>
      <c r="I19" s="44">
        <v>7</v>
      </c>
      <c r="J19" s="44">
        <v>7</v>
      </c>
      <c r="K19" s="44">
        <v>2</v>
      </c>
      <c r="L19" s="44">
        <v>75</v>
      </c>
      <c r="M19" s="46" t="s">
        <v>200</v>
      </c>
      <c r="N19" s="45" t="s">
        <v>295</v>
      </c>
      <c r="O19" s="47" t="s">
        <v>205</v>
      </c>
      <c r="P19" s="47" t="s">
        <v>205</v>
      </c>
      <c r="Q19" s="47" t="s">
        <v>205</v>
      </c>
      <c r="R19" s="36" t="s">
        <v>205</v>
      </c>
      <c r="S19" s="47" t="s">
        <v>204</v>
      </c>
      <c r="T19" s="47" t="s">
        <v>204</v>
      </c>
      <c r="U19" s="45"/>
      <c r="V19" s="47" t="s">
        <v>242</v>
      </c>
      <c r="W19" s="45" t="s">
        <v>464</v>
      </c>
      <c r="X19" s="47" t="s">
        <v>681</v>
      </c>
      <c r="Y19" s="56"/>
      <c r="Z19" s="69">
        <v>20</v>
      </c>
      <c r="AA19" s="68"/>
      <c r="AB19" s="69"/>
      <c r="AC19" s="68"/>
      <c r="AD19" s="69">
        <v>20</v>
      </c>
      <c r="AE19" s="68"/>
    </row>
    <row r="20" spans="1:31" ht="72">
      <c r="A20" s="81" t="s">
        <v>106</v>
      </c>
      <c r="B20" s="81">
        <v>18</v>
      </c>
      <c r="C20" s="45" t="s">
        <v>296</v>
      </c>
      <c r="D20" s="45" t="s">
        <v>465</v>
      </c>
      <c r="E20" s="46"/>
      <c r="F20" s="72">
        <v>5</v>
      </c>
      <c r="G20" s="44">
        <v>5</v>
      </c>
      <c r="H20" s="44">
        <v>5</v>
      </c>
      <c r="I20" s="44">
        <v>5</v>
      </c>
      <c r="J20" s="44">
        <v>5</v>
      </c>
      <c r="K20" s="44">
        <v>2</v>
      </c>
      <c r="L20" s="44">
        <v>75</v>
      </c>
      <c r="M20" s="46" t="s">
        <v>200</v>
      </c>
      <c r="N20" s="45" t="s">
        <v>297</v>
      </c>
      <c r="O20" s="47" t="s">
        <v>205</v>
      </c>
      <c r="P20" s="47" t="s">
        <v>205</v>
      </c>
      <c r="Q20" s="47" t="s">
        <v>205</v>
      </c>
      <c r="R20" s="36" t="s">
        <v>205</v>
      </c>
      <c r="S20" s="47" t="s">
        <v>204</v>
      </c>
      <c r="T20" s="47" t="s">
        <v>204</v>
      </c>
      <c r="U20" s="45"/>
      <c r="V20" s="47" t="s">
        <v>242</v>
      </c>
      <c r="W20" s="45" t="s">
        <v>466</v>
      </c>
      <c r="X20" s="47" t="s">
        <v>681</v>
      </c>
      <c r="Y20" s="56"/>
      <c r="Z20" s="69">
        <v>21</v>
      </c>
      <c r="AA20" s="68"/>
      <c r="AB20" s="69"/>
      <c r="AC20" s="68"/>
      <c r="AD20" s="69">
        <v>21</v>
      </c>
      <c r="AE20" s="68"/>
    </row>
    <row r="21" spans="1:31" ht="60">
      <c r="A21" s="82" t="s">
        <v>106</v>
      </c>
      <c r="B21" s="82">
        <v>19</v>
      </c>
      <c r="C21" s="52" t="s">
        <v>421</v>
      </c>
      <c r="D21" s="49" t="s">
        <v>467</v>
      </c>
      <c r="E21" s="53"/>
      <c r="F21" s="51">
        <v>-200</v>
      </c>
      <c r="G21" s="51">
        <v>-200</v>
      </c>
      <c r="H21" s="51">
        <v>-200</v>
      </c>
      <c r="I21" s="51">
        <v>-200</v>
      </c>
      <c r="J21" s="51">
        <v>-200</v>
      </c>
      <c r="K21" s="51">
        <v>-200</v>
      </c>
      <c r="L21" s="51">
        <v>200</v>
      </c>
      <c r="M21" s="46" t="s">
        <v>362</v>
      </c>
      <c r="N21" s="52" t="s">
        <v>298</v>
      </c>
      <c r="O21" s="36" t="s">
        <v>205</v>
      </c>
      <c r="P21" s="36" t="s">
        <v>205</v>
      </c>
      <c r="Q21" s="36" t="s">
        <v>205</v>
      </c>
      <c r="R21" s="36" t="s">
        <v>205</v>
      </c>
      <c r="S21" s="56" t="s">
        <v>204</v>
      </c>
      <c r="T21" s="36" t="s">
        <v>204</v>
      </c>
      <c r="U21" s="52"/>
      <c r="V21" s="36" t="s">
        <v>242</v>
      </c>
      <c r="W21" s="49" t="s">
        <v>468</v>
      </c>
      <c r="X21" s="47" t="s">
        <v>681</v>
      </c>
      <c r="Y21" s="56"/>
      <c r="Z21" s="69">
        <v>24</v>
      </c>
      <c r="AA21" s="68"/>
      <c r="AB21" s="69"/>
      <c r="AC21" s="68"/>
      <c r="AD21" s="69">
        <v>22</v>
      </c>
      <c r="AE21" s="68"/>
    </row>
    <row r="22" spans="1:31" ht="60">
      <c r="A22" s="82" t="s">
        <v>106</v>
      </c>
      <c r="B22" s="82">
        <v>20</v>
      </c>
      <c r="C22" s="52" t="s">
        <v>299</v>
      </c>
      <c r="D22" s="49" t="s">
        <v>112</v>
      </c>
      <c r="E22" s="53"/>
      <c r="F22" s="51">
        <v>-200</v>
      </c>
      <c r="G22" s="51">
        <v>-200</v>
      </c>
      <c r="H22" s="51">
        <v>-200</v>
      </c>
      <c r="I22" s="51">
        <v>-200</v>
      </c>
      <c r="J22" s="51">
        <v>-200</v>
      </c>
      <c r="K22" s="51">
        <v>-200</v>
      </c>
      <c r="L22" s="51">
        <v>200</v>
      </c>
      <c r="M22" s="46" t="s">
        <v>362</v>
      </c>
      <c r="N22" s="52" t="s">
        <v>300</v>
      </c>
      <c r="O22" s="36" t="s">
        <v>205</v>
      </c>
      <c r="P22" s="36" t="s">
        <v>205</v>
      </c>
      <c r="Q22" s="36" t="s">
        <v>205</v>
      </c>
      <c r="R22" s="36" t="s">
        <v>205</v>
      </c>
      <c r="S22" s="56" t="s">
        <v>204</v>
      </c>
      <c r="T22" s="36" t="s">
        <v>204</v>
      </c>
      <c r="U22" s="52"/>
      <c r="V22" s="36" t="s">
        <v>242</v>
      </c>
      <c r="W22" s="49" t="s">
        <v>469</v>
      </c>
      <c r="X22" s="47" t="s">
        <v>681</v>
      </c>
      <c r="Y22" s="56"/>
      <c r="Z22" s="69">
        <v>26</v>
      </c>
      <c r="AA22" s="68"/>
      <c r="AB22" s="69"/>
      <c r="AC22" s="68"/>
      <c r="AD22" s="69">
        <v>24</v>
      </c>
      <c r="AE22" s="68"/>
    </row>
    <row r="23" spans="1:31" ht="36">
      <c r="A23" s="81" t="s">
        <v>106</v>
      </c>
      <c r="B23" s="81">
        <v>21</v>
      </c>
      <c r="C23" s="45" t="s">
        <v>301</v>
      </c>
      <c r="D23" s="45" t="s">
        <v>113</v>
      </c>
      <c r="E23" s="46"/>
      <c r="F23" s="72">
        <v>1</v>
      </c>
      <c r="G23" s="44">
        <v>1</v>
      </c>
      <c r="H23" s="44">
        <v>1</v>
      </c>
      <c r="I23" s="44">
        <v>1</v>
      </c>
      <c r="J23" s="44">
        <v>1</v>
      </c>
      <c r="K23" s="44">
        <v>0</v>
      </c>
      <c r="L23" s="44">
        <v>127</v>
      </c>
      <c r="M23" s="46" t="s">
        <v>200</v>
      </c>
      <c r="N23" s="45" t="s">
        <v>302</v>
      </c>
      <c r="O23" s="47" t="s">
        <v>204</v>
      </c>
      <c r="P23" s="47" t="s">
        <v>205</v>
      </c>
      <c r="Q23" s="47" t="s">
        <v>205</v>
      </c>
      <c r="R23" s="36" t="s">
        <v>205</v>
      </c>
      <c r="S23" s="47" t="s">
        <v>204</v>
      </c>
      <c r="T23" s="47" t="s">
        <v>204</v>
      </c>
      <c r="U23" s="45" t="s">
        <v>303</v>
      </c>
      <c r="V23" s="47" t="s">
        <v>242</v>
      </c>
      <c r="W23" s="45" t="s">
        <v>470</v>
      </c>
      <c r="X23" s="47" t="s">
        <v>681</v>
      </c>
      <c r="Y23" s="56"/>
      <c r="Z23" s="69">
        <v>22</v>
      </c>
      <c r="AA23" s="68"/>
      <c r="AB23" s="69"/>
      <c r="AC23" s="68"/>
      <c r="AD23" s="69">
        <v>26</v>
      </c>
      <c r="AE23" s="68"/>
    </row>
    <row r="24" spans="1:31" ht="24">
      <c r="A24" s="82" t="s">
        <v>106</v>
      </c>
      <c r="B24" s="82">
        <v>22</v>
      </c>
      <c r="C24" s="52" t="s">
        <v>304</v>
      </c>
      <c r="D24" s="52" t="s">
        <v>471</v>
      </c>
      <c r="E24" s="53"/>
      <c r="F24" s="74">
        <v>0</v>
      </c>
      <c r="G24" s="51">
        <v>0</v>
      </c>
      <c r="H24" s="51">
        <v>0</v>
      </c>
      <c r="I24" s="51">
        <v>0</v>
      </c>
      <c r="J24" s="51">
        <v>0</v>
      </c>
      <c r="K24" s="51">
        <v>0</v>
      </c>
      <c r="L24" s="51">
        <v>16383</v>
      </c>
      <c r="M24" s="46" t="s">
        <v>201</v>
      </c>
      <c r="N24" s="52" t="s">
        <v>305</v>
      </c>
      <c r="O24" s="36" t="s">
        <v>204</v>
      </c>
      <c r="P24" s="36" t="s">
        <v>205</v>
      </c>
      <c r="Q24" s="36" t="s">
        <v>205</v>
      </c>
      <c r="R24" s="36" t="s">
        <v>205</v>
      </c>
      <c r="S24" s="36" t="s">
        <v>204</v>
      </c>
      <c r="T24" s="36" t="s">
        <v>204</v>
      </c>
      <c r="U24" s="52" t="s">
        <v>303</v>
      </c>
      <c r="V24" s="36" t="s">
        <v>242</v>
      </c>
      <c r="W24" s="52" t="s">
        <v>472</v>
      </c>
      <c r="X24" s="47" t="s">
        <v>681</v>
      </c>
      <c r="Y24" s="56"/>
      <c r="Z24" s="69">
        <v>28</v>
      </c>
      <c r="AA24" s="68"/>
      <c r="AB24" s="69"/>
      <c r="AC24" s="68"/>
      <c r="AD24" s="69">
        <v>27</v>
      </c>
      <c r="AE24" s="68"/>
    </row>
    <row r="25" spans="1:31" ht="24">
      <c r="A25" s="82" t="s">
        <v>106</v>
      </c>
      <c r="B25" s="82">
        <v>23</v>
      </c>
      <c r="C25" s="52" t="s">
        <v>306</v>
      </c>
      <c r="D25" s="52" t="s">
        <v>473</v>
      </c>
      <c r="E25" s="53"/>
      <c r="F25" s="74">
        <v>0</v>
      </c>
      <c r="G25" s="51">
        <v>0</v>
      </c>
      <c r="H25" s="51">
        <v>0</v>
      </c>
      <c r="I25" s="51">
        <v>0</v>
      </c>
      <c r="J25" s="51">
        <v>0</v>
      </c>
      <c r="K25" s="51">
        <v>0</v>
      </c>
      <c r="L25" s="51">
        <v>13</v>
      </c>
      <c r="M25" s="46" t="s">
        <v>200</v>
      </c>
      <c r="N25" s="52" t="s">
        <v>307</v>
      </c>
      <c r="O25" s="36" t="s">
        <v>204</v>
      </c>
      <c r="P25" s="36" t="s">
        <v>205</v>
      </c>
      <c r="Q25" s="36" t="s">
        <v>205</v>
      </c>
      <c r="R25" s="36" t="s">
        <v>205</v>
      </c>
      <c r="S25" s="36" t="s">
        <v>204</v>
      </c>
      <c r="T25" s="36" t="s">
        <v>204</v>
      </c>
      <c r="U25" s="52"/>
      <c r="V25" s="36" t="s">
        <v>242</v>
      </c>
      <c r="W25" s="52" t="s">
        <v>474</v>
      </c>
      <c r="X25" s="47" t="s">
        <v>681</v>
      </c>
      <c r="Y25" s="56"/>
      <c r="Z25" s="69">
        <v>23</v>
      </c>
      <c r="AA25" s="68"/>
      <c r="AB25" s="69"/>
      <c r="AC25" s="68"/>
      <c r="AD25" s="69">
        <v>29</v>
      </c>
      <c r="AE25" s="68"/>
    </row>
    <row r="26" spans="1:31" ht="24">
      <c r="A26" s="82" t="s">
        <v>106</v>
      </c>
      <c r="B26" s="82">
        <v>24</v>
      </c>
      <c r="C26" s="52" t="s">
        <v>308</v>
      </c>
      <c r="D26" s="52" t="s">
        <v>365</v>
      </c>
      <c r="E26" s="53"/>
      <c r="F26" s="74">
        <v>0</v>
      </c>
      <c r="G26" s="51">
        <v>0</v>
      </c>
      <c r="H26" s="51">
        <v>0</v>
      </c>
      <c r="I26" s="51">
        <v>0</v>
      </c>
      <c r="J26" s="51">
        <v>0</v>
      </c>
      <c r="K26" s="51">
        <v>0</v>
      </c>
      <c r="L26" s="51">
        <v>65535</v>
      </c>
      <c r="M26" s="46" t="s">
        <v>201</v>
      </c>
      <c r="N26" s="52" t="s">
        <v>309</v>
      </c>
      <c r="O26" s="36" t="s">
        <v>204</v>
      </c>
      <c r="P26" s="36" t="s">
        <v>205</v>
      </c>
      <c r="Q26" s="36" t="s">
        <v>205</v>
      </c>
      <c r="R26" s="36" t="s">
        <v>205</v>
      </c>
      <c r="S26" s="36" t="s">
        <v>204</v>
      </c>
      <c r="T26" s="36" t="s">
        <v>204</v>
      </c>
      <c r="U26" s="52"/>
      <c r="V26" s="36" t="s">
        <v>242</v>
      </c>
      <c r="W26" s="52" t="s">
        <v>475</v>
      </c>
      <c r="X26" s="47" t="s">
        <v>681</v>
      </c>
      <c r="Y26" s="56"/>
      <c r="Z26" s="69">
        <v>30</v>
      </c>
      <c r="AA26" s="68"/>
      <c r="AB26" s="69"/>
      <c r="AC26" s="68"/>
      <c r="AD26" s="69">
        <v>30</v>
      </c>
      <c r="AE26" s="68"/>
    </row>
    <row r="27" spans="1:31" ht="24">
      <c r="A27" s="82" t="s">
        <v>106</v>
      </c>
      <c r="B27" s="82">
        <v>25</v>
      </c>
      <c r="C27" s="52" t="s">
        <v>310</v>
      </c>
      <c r="D27" s="52" t="s">
        <v>476</v>
      </c>
      <c r="E27" s="53"/>
      <c r="F27" s="74">
        <v>0</v>
      </c>
      <c r="G27" s="51">
        <v>0</v>
      </c>
      <c r="H27" s="51">
        <v>0</v>
      </c>
      <c r="I27" s="51">
        <v>0</v>
      </c>
      <c r="J27" s="51">
        <v>0</v>
      </c>
      <c r="K27" s="51">
        <v>0</v>
      </c>
      <c r="L27" s="51">
        <v>255</v>
      </c>
      <c r="M27" s="46" t="s">
        <v>200</v>
      </c>
      <c r="N27" s="52" t="s">
        <v>311</v>
      </c>
      <c r="O27" s="36" t="s">
        <v>204</v>
      </c>
      <c r="P27" s="36" t="s">
        <v>205</v>
      </c>
      <c r="Q27" s="36" t="s">
        <v>205</v>
      </c>
      <c r="R27" s="36" t="s">
        <v>205</v>
      </c>
      <c r="S27" s="36" t="s">
        <v>204</v>
      </c>
      <c r="T27" s="36" t="s">
        <v>204</v>
      </c>
      <c r="U27" s="52"/>
      <c r="V27" s="36" t="s">
        <v>242</v>
      </c>
      <c r="W27" s="52" t="s">
        <v>477</v>
      </c>
      <c r="X27" s="47" t="s">
        <v>681</v>
      </c>
      <c r="Y27" s="56"/>
      <c r="Z27" s="69">
        <v>32</v>
      </c>
      <c r="AA27" s="68"/>
      <c r="AB27" s="69"/>
      <c r="AC27" s="68"/>
      <c r="AD27" s="69">
        <v>32</v>
      </c>
      <c r="AE27" s="68"/>
    </row>
    <row r="28" spans="1:31" ht="192">
      <c r="A28" s="82">
        <v>763</v>
      </c>
      <c r="B28" s="82">
        <v>26</v>
      </c>
      <c r="C28" s="52" t="s">
        <v>312</v>
      </c>
      <c r="D28" s="52" t="s">
        <v>366</v>
      </c>
      <c r="E28" s="53"/>
      <c r="F28" s="74">
        <v>0</v>
      </c>
      <c r="G28" s="51">
        <v>0</v>
      </c>
      <c r="H28" s="51">
        <v>0</v>
      </c>
      <c r="I28" s="51">
        <v>0</v>
      </c>
      <c r="J28" s="51">
        <v>0</v>
      </c>
      <c r="K28" s="51">
        <v>0</v>
      </c>
      <c r="L28" s="51">
        <v>4294967295</v>
      </c>
      <c r="M28" s="46" t="s">
        <v>202</v>
      </c>
      <c r="N28" s="52" t="s">
        <v>313</v>
      </c>
      <c r="O28" s="36" t="s">
        <v>204</v>
      </c>
      <c r="P28" s="36" t="s">
        <v>205</v>
      </c>
      <c r="Q28" s="36" t="s">
        <v>205</v>
      </c>
      <c r="R28" s="36" t="s">
        <v>205</v>
      </c>
      <c r="S28" s="36" t="s">
        <v>204</v>
      </c>
      <c r="T28" s="36" t="s">
        <v>204</v>
      </c>
      <c r="U28" s="52" t="s">
        <v>243</v>
      </c>
      <c r="V28" s="36" t="s">
        <v>242</v>
      </c>
      <c r="W28" s="52" t="s">
        <v>478</v>
      </c>
      <c r="X28" s="47" t="s">
        <v>681</v>
      </c>
      <c r="Y28" s="56"/>
      <c r="Z28" s="69">
        <v>36</v>
      </c>
      <c r="AA28" s="68"/>
      <c r="AB28" s="69"/>
      <c r="AC28" s="68"/>
      <c r="AD28" s="69">
        <v>33</v>
      </c>
      <c r="AE28" s="68"/>
    </row>
    <row r="29" spans="1:31" ht="36">
      <c r="A29" s="82" t="s">
        <v>106</v>
      </c>
      <c r="B29" s="82">
        <v>200</v>
      </c>
      <c r="C29" s="62" t="s">
        <v>479</v>
      </c>
      <c r="D29" s="52" t="s">
        <v>480</v>
      </c>
      <c r="E29" s="53"/>
      <c r="F29" s="91">
        <v>285</v>
      </c>
      <c r="G29" s="91">
        <v>285</v>
      </c>
      <c r="H29" s="91">
        <v>285</v>
      </c>
      <c r="I29" s="91">
        <v>285</v>
      </c>
      <c r="J29" s="91">
        <v>285</v>
      </c>
      <c r="K29" s="51">
        <v>150</v>
      </c>
      <c r="L29" s="51">
        <v>410</v>
      </c>
      <c r="M29" s="46" t="s">
        <v>201</v>
      </c>
      <c r="N29" s="52" t="s">
        <v>314</v>
      </c>
      <c r="O29" s="36" t="s">
        <v>205</v>
      </c>
      <c r="P29" s="36" t="s">
        <v>205</v>
      </c>
      <c r="Q29" s="36" t="s">
        <v>205</v>
      </c>
      <c r="R29" s="36" t="s">
        <v>205</v>
      </c>
      <c r="S29" s="56" t="s">
        <v>204</v>
      </c>
      <c r="T29" s="36" t="s">
        <v>204</v>
      </c>
      <c r="U29" s="52"/>
      <c r="V29" s="36" t="s">
        <v>244</v>
      </c>
      <c r="W29" s="52" t="s">
        <v>481</v>
      </c>
      <c r="X29" s="47" t="s">
        <v>681</v>
      </c>
      <c r="Y29" s="56"/>
      <c r="Z29" s="69">
        <v>40</v>
      </c>
      <c r="AA29" s="68"/>
      <c r="AB29" s="69"/>
      <c r="AC29" s="68"/>
      <c r="AD29" s="69">
        <v>37</v>
      </c>
      <c r="AE29" s="68"/>
    </row>
    <row r="30" spans="1:31" ht="36">
      <c r="A30" s="82" t="s">
        <v>106</v>
      </c>
      <c r="B30" s="82">
        <v>201</v>
      </c>
      <c r="C30" s="62" t="s">
        <v>482</v>
      </c>
      <c r="D30" s="52" t="s">
        <v>483</v>
      </c>
      <c r="E30" s="53"/>
      <c r="F30" s="91">
        <v>285</v>
      </c>
      <c r="G30" s="91">
        <v>285</v>
      </c>
      <c r="H30" s="91">
        <v>285</v>
      </c>
      <c r="I30" s="91">
        <v>285</v>
      </c>
      <c r="J30" s="91">
        <v>285</v>
      </c>
      <c r="K30" s="51">
        <v>150</v>
      </c>
      <c r="L30" s="51">
        <v>410</v>
      </c>
      <c r="M30" s="46" t="s">
        <v>201</v>
      </c>
      <c r="N30" s="52" t="s">
        <v>314</v>
      </c>
      <c r="O30" s="36" t="s">
        <v>205</v>
      </c>
      <c r="P30" s="36" t="s">
        <v>205</v>
      </c>
      <c r="Q30" s="36" t="s">
        <v>205</v>
      </c>
      <c r="R30" s="36" t="s">
        <v>205</v>
      </c>
      <c r="S30" s="56" t="s">
        <v>204</v>
      </c>
      <c r="T30" s="36" t="s">
        <v>204</v>
      </c>
      <c r="U30" s="52"/>
      <c r="V30" s="36" t="s">
        <v>244</v>
      </c>
      <c r="W30" s="52" t="s">
        <v>484</v>
      </c>
      <c r="X30" s="47" t="s">
        <v>681</v>
      </c>
      <c r="Y30" s="56"/>
      <c r="Z30" s="69">
        <v>42</v>
      </c>
      <c r="AA30" s="68"/>
      <c r="AB30" s="69"/>
      <c r="AC30" s="68"/>
      <c r="AD30" s="69">
        <v>39</v>
      </c>
      <c r="AE30" s="68"/>
    </row>
    <row r="31" spans="1:31" ht="36">
      <c r="A31" s="82">
        <v>763</v>
      </c>
      <c r="B31" s="82">
        <v>202</v>
      </c>
      <c r="C31" s="62" t="s">
        <v>677</v>
      </c>
      <c r="D31" s="52" t="s">
        <v>676</v>
      </c>
      <c r="E31" s="53"/>
      <c r="F31" s="74">
        <v>10</v>
      </c>
      <c r="G31" s="74">
        <v>10</v>
      </c>
      <c r="H31" s="74">
        <v>10</v>
      </c>
      <c r="I31" s="74">
        <v>10</v>
      </c>
      <c r="J31" s="74">
        <v>10</v>
      </c>
      <c r="K31" s="74">
        <v>0</v>
      </c>
      <c r="L31" s="51">
        <v>50</v>
      </c>
      <c r="M31" s="46" t="s">
        <v>200</v>
      </c>
      <c r="N31" s="52" t="s">
        <v>232</v>
      </c>
      <c r="O31" s="36" t="s">
        <v>205</v>
      </c>
      <c r="P31" s="36" t="s">
        <v>205</v>
      </c>
      <c r="Q31" s="36" t="s">
        <v>205</v>
      </c>
      <c r="R31" s="36" t="s">
        <v>205</v>
      </c>
      <c r="S31" s="56" t="s">
        <v>204</v>
      </c>
      <c r="T31" s="36" t="s">
        <v>204</v>
      </c>
      <c r="U31" s="52"/>
      <c r="V31" s="36" t="s">
        <v>244</v>
      </c>
      <c r="W31" s="52" t="s">
        <v>674</v>
      </c>
      <c r="X31" s="47" t="s">
        <v>681</v>
      </c>
      <c r="Y31" s="56"/>
      <c r="Z31" s="69">
        <v>33</v>
      </c>
      <c r="AA31" s="68"/>
      <c r="AB31" s="69"/>
      <c r="AC31" s="68"/>
      <c r="AD31" s="69">
        <v>41</v>
      </c>
      <c r="AE31" s="68"/>
    </row>
    <row r="32" spans="1:31">
      <c r="A32" s="82">
        <v>763</v>
      </c>
      <c r="B32" s="82">
        <v>203</v>
      </c>
      <c r="C32" s="52" t="s">
        <v>114</v>
      </c>
      <c r="D32" s="52" t="s">
        <v>485</v>
      </c>
      <c r="E32" s="63"/>
      <c r="F32" s="74">
        <v>3</v>
      </c>
      <c r="G32" s="74">
        <v>3</v>
      </c>
      <c r="H32" s="74">
        <v>3</v>
      </c>
      <c r="I32" s="74">
        <v>3</v>
      </c>
      <c r="J32" s="74">
        <v>3</v>
      </c>
      <c r="K32" s="51">
        <v>1</v>
      </c>
      <c r="L32" s="51">
        <v>20</v>
      </c>
      <c r="M32" s="46" t="s">
        <v>200</v>
      </c>
      <c r="N32" s="52" t="s">
        <v>206</v>
      </c>
      <c r="O32" s="36" t="s">
        <v>205</v>
      </c>
      <c r="P32" s="36" t="s">
        <v>205</v>
      </c>
      <c r="Q32" s="36" t="s">
        <v>205</v>
      </c>
      <c r="R32" s="36" t="s">
        <v>205</v>
      </c>
      <c r="S32" s="56" t="s">
        <v>204</v>
      </c>
      <c r="T32" s="36" t="s">
        <v>204</v>
      </c>
      <c r="U32" s="52"/>
      <c r="V32" s="47" t="s">
        <v>244</v>
      </c>
      <c r="W32" s="52" t="s">
        <v>486</v>
      </c>
      <c r="X32" s="47" t="s">
        <v>681</v>
      </c>
      <c r="Y32" s="56"/>
      <c r="Z32" s="69">
        <v>34</v>
      </c>
      <c r="AA32" s="68"/>
      <c r="AB32" s="69"/>
      <c r="AC32" s="68"/>
      <c r="AD32" s="69">
        <v>42</v>
      </c>
      <c r="AE32" s="68"/>
    </row>
    <row r="33" spans="1:31">
      <c r="A33" s="82">
        <v>763</v>
      </c>
      <c r="B33" s="82">
        <v>204</v>
      </c>
      <c r="C33" s="52" t="s">
        <v>487</v>
      </c>
      <c r="D33" s="52" t="s">
        <v>367</v>
      </c>
      <c r="E33" s="53"/>
      <c r="F33" s="74">
        <v>3</v>
      </c>
      <c r="G33" s="74">
        <v>3</v>
      </c>
      <c r="H33" s="74">
        <v>3</v>
      </c>
      <c r="I33" s="74">
        <v>3</v>
      </c>
      <c r="J33" s="74">
        <v>3</v>
      </c>
      <c r="K33" s="51">
        <v>1</v>
      </c>
      <c r="L33" s="51">
        <v>20</v>
      </c>
      <c r="M33" s="46" t="s">
        <v>200</v>
      </c>
      <c r="N33" s="52" t="s">
        <v>206</v>
      </c>
      <c r="O33" s="36" t="s">
        <v>205</v>
      </c>
      <c r="P33" s="36" t="s">
        <v>205</v>
      </c>
      <c r="Q33" s="36" t="s">
        <v>205</v>
      </c>
      <c r="R33" s="36" t="s">
        <v>205</v>
      </c>
      <c r="S33" s="56" t="s">
        <v>204</v>
      </c>
      <c r="T33" s="36" t="s">
        <v>204</v>
      </c>
      <c r="U33" s="52"/>
      <c r="V33" s="47" t="s">
        <v>244</v>
      </c>
      <c r="W33" s="52" t="s">
        <v>488</v>
      </c>
      <c r="X33" s="47" t="s">
        <v>681</v>
      </c>
      <c r="Y33" s="56"/>
      <c r="Z33" s="69">
        <v>35</v>
      </c>
      <c r="AA33" s="68"/>
      <c r="AB33" s="69"/>
      <c r="AC33" s="68"/>
      <c r="AD33" s="69">
        <v>43</v>
      </c>
      <c r="AE33" s="68"/>
    </row>
    <row r="34" spans="1:31" ht="24">
      <c r="A34" s="82">
        <v>763</v>
      </c>
      <c r="B34" s="82">
        <v>205</v>
      </c>
      <c r="C34" s="52" t="s">
        <v>315</v>
      </c>
      <c r="D34" s="52" t="s">
        <v>368</v>
      </c>
      <c r="E34" s="53"/>
      <c r="F34" s="74">
        <v>0</v>
      </c>
      <c r="G34" s="74">
        <v>0</v>
      </c>
      <c r="H34" s="74">
        <v>0</v>
      </c>
      <c r="I34" s="74">
        <v>0</v>
      </c>
      <c r="J34" s="74">
        <v>0</v>
      </c>
      <c r="K34" s="51">
        <v>0</v>
      </c>
      <c r="L34" s="51">
        <v>100</v>
      </c>
      <c r="M34" s="46" t="s">
        <v>200</v>
      </c>
      <c r="N34" s="52" t="s">
        <v>207</v>
      </c>
      <c r="O34" s="36" t="s">
        <v>205</v>
      </c>
      <c r="P34" s="36" t="s">
        <v>205</v>
      </c>
      <c r="Q34" s="36" t="s">
        <v>205</v>
      </c>
      <c r="R34" s="36" t="s">
        <v>205</v>
      </c>
      <c r="S34" s="56" t="s">
        <v>204</v>
      </c>
      <c r="T34" s="36" t="s">
        <v>204</v>
      </c>
      <c r="U34" s="52"/>
      <c r="V34" s="47" t="s">
        <v>244</v>
      </c>
      <c r="W34" s="52" t="s">
        <v>489</v>
      </c>
      <c r="X34" s="47" t="s">
        <v>681</v>
      </c>
      <c r="Y34" s="56"/>
      <c r="Z34" s="69">
        <v>44</v>
      </c>
      <c r="AA34" s="68"/>
      <c r="AB34" s="69"/>
      <c r="AC34" s="68"/>
      <c r="AD34" s="69">
        <v>44</v>
      </c>
      <c r="AE34" s="68"/>
    </row>
    <row r="35" spans="1:31" ht="48">
      <c r="A35" s="82" t="s">
        <v>106</v>
      </c>
      <c r="B35" s="82">
        <v>350</v>
      </c>
      <c r="C35" s="52" t="s">
        <v>115</v>
      </c>
      <c r="D35" s="52" t="s">
        <v>369</v>
      </c>
      <c r="E35" s="53"/>
      <c r="F35" s="74">
        <v>0</v>
      </c>
      <c r="G35" s="51">
        <v>0</v>
      </c>
      <c r="H35" s="51">
        <v>0</v>
      </c>
      <c r="I35" s="51">
        <v>0</v>
      </c>
      <c r="J35" s="51">
        <v>0</v>
      </c>
      <c r="K35" s="51">
        <v>0</v>
      </c>
      <c r="L35" s="51">
        <v>200</v>
      </c>
      <c r="M35" s="46" t="s">
        <v>200</v>
      </c>
      <c r="N35" s="52" t="s">
        <v>208</v>
      </c>
      <c r="O35" s="36" t="s">
        <v>204</v>
      </c>
      <c r="P35" s="36" t="s">
        <v>205</v>
      </c>
      <c r="Q35" s="36" t="s">
        <v>204</v>
      </c>
      <c r="R35" s="36" t="s">
        <v>205</v>
      </c>
      <c r="S35" s="56" t="s">
        <v>204</v>
      </c>
      <c r="T35" s="36" t="s">
        <v>204</v>
      </c>
      <c r="U35" s="52" t="s">
        <v>245</v>
      </c>
      <c r="V35" s="36" t="s">
        <v>246</v>
      </c>
      <c r="W35" s="52" t="s">
        <v>490</v>
      </c>
      <c r="X35" s="47" t="s">
        <v>681</v>
      </c>
      <c r="Y35" s="56"/>
      <c r="Z35" s="69">
        <v>45</v>
      </c>
      <c r="AA35" s="68"/>
      <c r="AB35" s="69"/>
      <c r="AC35" s="68"/>
      <c r="AD35" s="69">
        <v>45</v>
      </c>
      <c r="AE35" s="68"/>
    </row>
    <row r="36" spans="1:31" ht="48">
      <c r="A36" s="82" t="s">
        <v>106</v>
      </c>
      <c r="B36" s="82">
        <v>351</v>
      </c>
      <c r="C36" s="52" t="s">
        <v>116</v>
      </c>
      <c r="D36" s="52" t="s">
        <v>370</v>
      </c>
      <c r="E36" s="53"/>
      <c r="F36" s="74">
        <v>0</v>
      </c>
      <c r="G36" s="51">
        <v>0</v>
      </c>
      <c r="H36" s="51">
        <v>0</v>
      </c>
      <c r="I36" s="51">
        <v>0</v>
      </c>
      <c r="J36" s="51">
        <v>0</v>
      </c>
      <c r="K36" s="51">
        <v>0</v>
      </c>
      <c r="L36" s="51">
        <v>65535</v>
      </c>
      <c r="M36" s="46" t="s">
        <v>201</v>
      </c>
      <c r="N36" s="52" t="s">
        <v>209</v>
      </c>
      <c r="O36" s="36" t="s">
        <v>204</v>
      </c>
      <c r="P36" s="36" t="s">
        <v>205</v>
      </c>
      <c r="Q36" s="36" t="s">
        <v>204</v>
      </c>
      <c r="R36" s="36" t="s">
        <v>205</v>
      </c>
      <c r="S36" s="56" t="s">
        <v>204</v>
      </c>
      <c r="T36" s="36" t="s">
        <v>204</v>
      </c>
      <c r="U36" s="52" t="s">
        <v>245</v>
      </c>
      <c r="V36" s="36" t="s">
        <v>246</v>
      </c>
      <c r="W36" s="52" t="s">
        <v>491</v>
      </c>
      <c r="X36" s="47" t="s">
        <v>681</v>
      </c>
      <c r="Y36" s="56"/>
      <c r="Z36" s="69">
        <v>48</v>
      </c>
      <c r="AA36" s="68"/>
      <c r="AB36" s="69"/>
      <c r="AC36" s="68"/>
      <c r="AD36" s="69">
        <v>46</v>
      </c>
      <c r="AE36" s="68"/>
    </row>
    <row r="37" spans="1:31" ht="48">
      <c r="A37" s="82" t="s">
        <v>106</v>
      </c>
      <c r="B37" s="82">
        <v>352</v>
      </c>
      <c r="C37" s="52" t="s">
        <v>117</v>
      </c>
      <c r="D37" s="52" t="s">
        <v>371</v>
      </c>
      <c r="E37" s="53"/>
      <c r="F37" s="74">
        <v>0</v>
      </c>
      <c r="G37" s="51">
        <v>0</v>
      </c>
      <c r="H37" s="51">
        <v>0</v>
      </c>
      <c r="I37" s="51">
        <v>0</v>
      </c>
      <c r="J37" s="51">
        <v>0</v>
      </c>
      <c r="K37" s="51">
        <v>0</v>
      </c>
      <c r="L37" s="51">
        <v>65535</v>
      </c>
      <c r="M37" s="46" t="s">
        <v>201</v>
      </c>
      <c r="N37" s="52" t="s">
        <v>209</v>
      </c>
      <c r="O37" s="36" t="s">
        <v>204</v>
      </c>
      <c r="P37" s="36" t="s">
        <v>205</v>
      </c>
      <c r="Q37" s="36" t="s">
        <v>204</v>
      </c>
      <c r="R37" s="36" t="s">
        <v>205</v>
      </c>
      <c r="S37" s="56" t="s">
        <v>204</v>
      </c>
      <c r="T37" s="36" t="s">
        <v>204</v>
      </c>
      <c r="U37" s="52" t="s">
        <v>245</v>
      </c>
      <c r="V37" s="36" t="s">
        <v>246</v>
      </c>
      <c r="W37" s="52" t="s">
        <v>492</v>
      </c>
      <c r="X37" s="47" t="s">
        <v>681</v>
      </c>
      <c r="Y37" s="56"/>
      <c r="Z37" s="69">
        <v>50</v>
      </c>
      <c r="AA37" s="68"/>
      <c r="AB37" s="69"/>
      <c r="AC37" s="68"/>
      <c r="AD37" s="69">
        <v>48</v>
      </c>
      <c r="AE37" s="68"/>
    </row>
    <row r="38" spans="1:31" ht="48">
      <c r="A38" s="82" t="s">
        <v>106</v>
      </c>
      <c r="B38" s="82">
        <v>353</v>
      </c>
      <c r="C38" s="52" t="s">
        <v>118</v>
      </c>
      <c r="D38" s="52" t="s">
        <v>372</v>
      </c>
      <c r="E38" s="53"/>
      <c r="F38" s="74">
        <v>0</v>
      </c>
      <c r="G38" s="51">
        <v>0</v>
      </c>
      <c r="H38" s="51">
        <v>0</v>
      </c>
      <c r="I38" s="51">
        <v>0</v>
      </c>
      <c r="J38" s="51">
        <v>0</v>
      </c>
      <c r="K38" s="51">
        <v>0</v>
      </c>
      <c r="L38" s="51">
        <v>65535</v>
      </c>
      <c r="M38" s="46" t="s">
        <v>201</v>
      </c>
      <c r="N38" s="52" t="s">
        <v>209</v>
      </c>
      <c r="O38" s="36" t="s">
        <v>204</v>
      </c>
      <c r="P38" s="36" t="s">
        <v>205</v>
      </c>
      <c r="Q38" s="36" t="s">
        <v>204</v>
      </c>
      <c r="R38" s="36" t="s">
        <v>205</v>
      </c>
      <c r="S38" s="56" t="s">
        <v>204</v>
      </c>
      <c r="T38" s="36" t="s">
        <v>204</v>
      </c>
      <c r="U38" s="52" t="s">
        <v>245</v>
      </c>
      <c r="V38" s="36" t="s">
        <v>246</v>
      </c>
      <c r="W38" s="52" t="s">
        <v>493</v>
      </c>
      <c r="X38" s="47" t="s">
        <v>681</v>
      </c>
      <c r="Y38" s="56"/>
      <c r="Z38" s="69">
        <v>52</v>
      </c>
      <c r="AA38" s="68"/>
      <c r="AB38" s="69"/>
      <c r="AC38" s="68"/>
      <c r="AD38" s="69">
        <v>50</v>
      </c>
      <c r="AE38" s="68"/>
    </row>
    <row r="39" spans="1:31" ht="48">
      <c r="A39" s="82" t="s">
        <v>106</v>
      </c>
      <c r="B39" s="82">
        <v>354</v>
      </c>
      <c r="C39" s="52" t="s">
        <v>119</v>
      </c>
      <c r="D39" s="52" t="s">
        <v>494</v>
      </c>
      <c r="E39" s="53"/>
      <c r="F39" s="74">
        <v>0</v>
      </c>
      <c r="G39" s="51">
        <v>0</v>
      </c>
      <c r="H39" s="51">
        <v>0</v>
      </c>
      <c r="I39" s="51">
        <v>0</v>
      </c>
      <c r="J39" s="51">
        <v>0</v>
      </c>
      <c r="K39" s="51">
        <v>0</v>
      </c>
      <c r="L39" s="51">
        <v>65535</v>
      </c>
      <c r="M39" s="46" t="s">
        <v>201</v>
      </c>
      <c r="N39" s="52" t="s">
        <v>209</v>
      </c>
      <c r="O39" s="36" t="s">
        <v>204</v>
      </c>
      <c r="P39" s="36" t="s">
        <v>205</v>
      </c>
      <c r="Q39" s="36" t="s">
        <v>204</v>
      </c>
      <c r="R39" s="36" t="s">
        <v>205</v>
      </c>
      <c r="S39" s="56" t="s">
        <v>204</v>
      </c>
      <c r="T39" s="36" t="s">
        <v>204</v>
      </c>
      <c r="U39" s="52" t="s">
        <v>245</v>
      </c>
      <c r="V39" s="36" t="s">
        <v>246</v>
      </c>
      <c r="W39" s="52" t="s">
        <v>495</v>
      </c>
      <c r="X39" s="47" t="s">
        <v>681</v>
      </c>
      <c r="Y39" s="56"/>
      <c r="Z39" s="69">
        <v>54</v>
      </c>
      <c r="AA39" s="68"/>
      <c r="AB39" s="69"/>
      <c r="AC39" s="68"/>
      <c r="AD39" s="69">
        <v>52</v>
      </c>
      <c r="AE39" s="68"/>
    </row>
    <row r="40" spans="1:31" ht="48">
      <c r="A40" s="82" t="s">
        <v>106</v>
      </c>
      <c r="B40" s="82">
        <v>355</v>
      </c>
      <c r="C40" s="52" t="s">
        <v>120</v>
      </c>
      <c r="D40" s="52" t="s">
        <v>121</v>
      </c>
      <c r="E40" s="53"/>
      <c r="F40" s="74">
        <v>0</v>
      </c>
      <c r="G40" s="51">
        <v>0</v>
      </c>
      <c r="H40" s="51">
        <v>0</v>
      </c>
      <c r="I40" s="51">
        <v>0</v>
      </c>
      <c r="J40" s="51">
        <v>0</v>
      </c>
      <c r="K40" s="51">
        <v>0</v>
      </c>
      <c r="L40" s="51">
        <v>1</v>
      </c>
      <c r="M40" s="46" t="s">
        <v>200</v>
      </c>
      <c r="N40" s="52" t="s">
        <v>210</v>
      </c>
      <c r="O40" s="36" t="s">
        <v>205</v>
      </c>
      <c r="P40" s="36" t="s">
        <v>205</v>
      </c>
      <c r="Q40" s="36" t="s">
        <v>205</v>
      </c>
      <c r="R40" s="36" t="s">
        <v>205</v>
      </c>
      <c r="S40" s="56" t="s">
        <v>204</v>
      </c>
      <c r="T40" s="36" t="s">
        <v>204</v>
      </c>
      <c r="U40" s="52" t="s">
        <v>245</v>
      </c>
      <c r="V40" s="36" t="s">
        <v>246</v>
      </c>
      <c r="W40" s="52" t="s">
        <v>496</v>
      </c>
      <c r="X40" s="47" t="s">
        <v>681</v>
      </c>
      <c r="Y40" s="56"/>
      <c r="Z40" s="69">
        <v>46</v>
      </c>
      <c r="AA40" s="68"/>
      <c r="AB40" s="69"/>
      <c r="AC40" s="68"/>
      <c r="AD40" s="69">
        <v>54</v>
      </c>
      <c r="AE40" s="68"/>
    </row>
    <row r="41" spans="1:31" ht="48">
      <c r="A41" s="82" t="s">
        <v>106</v>
      </c>
      <c r="B41" s="82">
        <v>356</v>
      </c>
      <c r="C41" s="52" t="s">
        <v>122</v>
      </c>
      <c r="D41" s="52" t="s">
        <v>373</v>
      </c>
      <c r="E41" s="53"/>
      <c r="F41" s="74">
        <v>0</v>
      </c>
      <c r="G41" s="51">
        <v>0</v>
      </c>
      <c r="H41" s="51">
        <v>0</v>
      </c>
      <c r="I41" s="51">
        <v>0</v>
      </c>
      <c r="J41" s="51">
        <v>0</v>
      </c>
      <c r="K41" s="51">
        <v>0</v>
      </c>
      <c r="L41" s="51">
        <v>4294967295</v>
      </c>
      <c r="M41" s="46" t="s">
        <v>202</v>
      </c>
      <c r="N41" s="52" t="s">
        <v>211</v>
      </c>
      <c r="O41" s="36" t="s">
        <v>205</v>
      </c>
      <c r="P41" s="36" t="s">
        <v>204</v>
      </c>
      <c r="Q41" s="36" t="s">
        <v>205</v>
      </c>
      <c r="R41" s="36" t="s">
        <v>205</v>
      </c>
      <c r="S41" s="36" t="s">
        <v>205</v>
      </c>
      <c r="T41" s="36" t="s">
        <v>204</v>
      </c>
      <c r="U41" s="52" t="s">
        <v>245</v>
      </c>
      <c r="V41" s="36" t="s">
        <v>246</v>
      </c>
      <c r="W41" s="52" t="s">
        <v>497</v>
      </c>
      <c r="X41" s="47" t="s">
        <v>681</v>
      </c>
      <c r="Y41" s="56"/>
      <c r="Z41" s="69">
        <v>56</v>
      </c>
      <c r="AA41" s="68"/>
      <c r="AB41" s="69"/>
      <c r="AC41" s="68"/>
      <c r="AD41" s="69">
        <v>55</v>
      </c>
      <c r="AE41" s="68"/>
    </row>
    <row r="42" spans="1:31" ht="24">
      <c r="A42" s="82" t="s">
        <v>106</v>
      </c>
      <c r="B42" s="82">
        <v>357</v>
      </c>
      <c r="C42" s="52" t="s">
        <v>123</v>
      </c>
      <c r="D42" s="52" t="s">
        <v>498</v>
      </c>
      <c r="E42" s="53"/>
      <c r="F42" s="74">
        <v>0</v>
      </c>
      <c r="G42" s="51">
        <v>0</v>
      </c>
      <c r="H42" s="51">
        <v>0</v>
      </c>
      <c r="I42" s="51">
        <v>0</v>
      </c>
      <c r="J42" s="51">
        <v>0</v>
      </c>
      <c r="K42" s="51">
        <v>0</v>
      </c>
      <c r="L42" s="51">
        <v>4294967295</v>
      </c>
      <c r="M42" s="46" t="s">
        <v>202</v>
      </c>
      <c r="N42" s="52" t="s">
        <v>212</v>
      </c>
      <c r="O42" s="36" t="s">
        <v>205</v>
      </c>
      <c r="P42" s="36" t="s">
        <v>204</v>
      </c>
      <c r="Q42" s="36" t="s">
        <v>204</v>
      </c>
      <c r="R42" s="36" t="s">
        <v>205</v>
      </c>
      <c r="S42" s="36" t="s">
        <v>205</v>
      </c>
      <c r="T42" s="36" t="s">
        <v>204</v>
      </c>
      <c r="U42" s="52" t="s">
        <v>247</v>
      </c>
      <c r="V42" s="36" t="s">
        <v>246</v>
      </c>
      <c r="W42" s="52" t="s">
        <v>499</v>
      </c>
      <c r="X42" s="47" t="s">
        <v>681</v>
      </c>
      <c r="Y42" s="56"/>
      <c r="Z42" s="69">
        <v>60</v>
      </c>
      <c r="AA42" s="68"/>
      <c r="AB42" s="69"/>
      <c r="AC42" s="68"/>
      <c r="AD42" s="69">
        <v>59</v>
      </c>
      <c r="AE42" s="68"/>
    </row>
    <row r="43" spans="1:31" ht="24">
      <c r="A43" s="82" t="s">
        <v>106</v>
      </c>
      <c r="B43" s="82">
        <v>358</v>
      </c>
      <c r="C43" s="52" t="s">
        <v>124</v>
      </c>
      <c r="D43" s="52" t="s">
        <v>125</v>
      </c>
      <c r="E43" s="53"/>
      <c r="F43" s="74">
        <v>0</v>
      </c>
      <c r="G43" s="51">
        <v>0</v>
      </c>
      <c r="H43" s="51">
        <v>0</v>
      </c>
      <c r="I43" s="51">
        <v>0</v>
      </c>
      <c r="J43" s="51">
        <v>0</v>
      </c>
      <c r="K43" s="51">
        <v>0</v>
      </c>
      <c r="L43" s="51">
        <v>4294967295</v>
      </c>
      <c r="M43" s="46" t="s">
        <v>202</v>
      </c>
      <c r="N43" s="52" t="s">
        <v>213</v>
      </c>
      <c r="O43" s="36" t="s">
        <v>205</v>
      </c>
      <c r="P43" s="36" t="s">
        <v>204</v>
      </c>
      <c r="Q43" s="36" t="s">
        <v>204</v>
      </c>
      <c r="R43" s="36" t="s">
        <v>205</v>
      </c>
      <c r="S43" s="36" t="s">
        <v>205</v>
      </c>
      <c r="T43" s="36" t="s">
        <v>204</v>
      </c>
      <c r="U43" s="52" t="s">
        <v>247</v>
      </c>
      <c r="V43" s="36" t="s">
        <v>246</v>
      </c>
      <c r="W43" s="52" t="s">
        <v>500</v>
      </c>
      <c r="X43" s="47" t="s">
        <v>681</v>
      </c>
      <c r="Y43" s="56"/>
      <c r="Z43" s="69">
        <v>64</v>
      </c>
      <c r="AA43" s="68"/>
      <c r="AB43" s="69"/>
      <c r="AC43" s="68"/>
      <c r="AD43" s="69">
        <v>63</v>
      </c>
      <c r="AE43" s="68"/>
    </row>
    <row r="44" spans="1:31" ht="24">
      <c r="A44" s="82">
        <v>763</v>
      </c>
      <c r="B44" s="82">
        <v>359</v>
      </c>
      <c r="C44" s="52" t="s">
        <v>126</v>
      </c>
      <c r="D44" s="52" t="s">
        <v>127</v>
      </c>
      <c r="E44" s="53"/>
      <c r="F44" s="74">
        <v>0</v>
      </c>
      <c r="G44" s="51">
        <v>0</v>
      </c>
      <c r="H44" s="51">
        <v>0</v>
      </c>
      <c r="I44" s="51">
        <v>0</v>
      </c>
      <c r="J44" s="51">
        <v>0</v>
      </c>
      <c r="K44" s="51">
        <v>0</v>
      </c>
      <c r="L44" s="51">
        <v>90000</v>
      </c>
      <c r="M44" s="46" t="s">
        <v>202</v>
      </c>
      <c r="N44" s="52" t="s">
        <v>214</v>
      </c>
      <c r="O44" s="36" t="s">
        <v>204</v>
      </c>
      <c r="P44" s="36" t="s">
        <v>204</v>
      </c>
      <c r="Q44" s="36" t="s">
        <v>204</v>
      </c>
      <c r="R44" s="36" t="s">
        <v>205</v>
      </c>
      <c r="S44" s="56" t="s">
        <v>204</v>
      </c>
      <c r="T44" s="36" t="s">
        <v>204</v>
      </c>
      <c r="U44" s="52"/>
      <c r="V44" s="36" t="s">
        <v>246</v>
      </c>
      <c r="W44" s="52" t="s">
        <v>501</v>
      </c>
      <c r="X44" s="47" t="s">
        <v>681</v>
      </c>
      <c r="Y44" s="56"/>
      <c r="Z44" s="69">
        <v>68</v>
      </c>
      <c r="AA44" s="68"/>
      <c r="AB44" s="69"/>
      <c r="AC44" s="68"/>
      <c r="AD44" s="69">
        <v>67</v>
      </c>
      <c r="AE44" s="68"/>
    </row>
    <row r="45" spans="1:31" ht="24">
      <c r="A45" s="82" t="s">
        <v>106</v>
      </c>
      <c r="B45" s="82">
        <v>360</v>
      </c>
      <c r="C45" s="52" t="s">
        <v>128</v>
      </c>
      <c r="D45" s="52" t="s">
        <v>129</v>
      </c>
      <c r="E45" s="53"/>
      <c r="F45" s="74">
        <v>180</v>
      </c>
      <c r="G45" s="74">
        <v>180</v>
      </c>
      <c r="H45" s="74">
        <v>180</v>
      </c>
      <c r="I45" s="74">
        <v>180</v>
      </c>
      <c r="J45" s="74">
        <v>180</v>
      </c>
      <c r="K45" s="74">
        <v>1</v>
      </c>
      <c r="L45" s="51">
        <v>250</v>
      </c>
      <c r="M45" s="46" t="s">
        <v>200</v>
      </c>
      <c r="N45" s="52" t="s">
        <v>214</v>
      </c>
      <c r="O45" s="36" t="s">
        <v>205</v>
      </c>
      <c r="P45" s="36" t="s">
        <v>204</v>
      </c>
      <c r="Q45" s="36" t="s">
        <v>205</v>
      </c>
      <c r="R45" s="36" t="s">
        <v>205</v>
      </c>
      <c r="S45" s="56" t="s">
        <v>204</v>
      </c>
      <c r="T45" s="36" t="s">
        <v>204</v>
      </c>
      <c r="U45" s="52"/>
      <c r="V45" s="36" t="s">
        <v>246</v>
      </c>
      <c r="W45" s="52" t="s">
        <v>502</v>
      </c>
      <c r="X45" s="47" t="s">
        <v>681</v>
      </c>
      <c r="Y45" s="56"/>
      <c r="Z45" s="69">
        <v>47</v>
      </c>
      <c r="AA45" s="68"/>
      <c r="AB45" s="69"/>
      <c r="AC45" s="68"/>
      <c r="AD45" s="69">
        <v>71</v>
      </c>
      <c r="AE45" s="68"/>
    </row>
    <row r="46" spans="1:31" ht="36">
      <c r="A46" s="82" t="s">
        <v>106</v>
      </c>
      <c r="B46" s="82">
        <v>361</v>
      </c>
      <c r="C46" s="52" t="s">
        <v>130</v>
      </c>
      <c r="D46" s="52" t="s">
        <v>131</v>
      </c>
      <c r="E46" s="53"/>
      <c r="F46" s="74">
        <v>0</v>
      </c>
      <c r="G46" s="51">
        <v>0</v>
      </c>
      <c r="H46" s="51">
        <v>0</v>
      </c>
      <c r="I46" s="51">
        <v>0</v>
      </c>
      <c r="J46" s="51">
        <v>0</v>
      </c>
      <c r="K46" s="51">
        <v>0</v>
      </c>
      <c r="L46" s="51">
        <v>1</v>
      </c>
      <c r="M46" s="46" t="s">
        <v>200</v>
      </c>
      <c r="N46" s="52" t="s">
        <v>215</v>
      </c>
      <c r="O46" s="36" t="s">
        <v>205</v>
      </c>
      <c r="P46" s="36" t="s">
        <v>204</v>
      </c>
      <c r="Q46" s="36" t="s">
        <v>205</v>
      </c>
      <c r="R46" s="36" t="s">
        <v>205</v>
      </c>
      <c r="S46" s="56" t="s">
        <v>204</v>
      </c>
      <c r="T46" s="36" t="s">
        <v>204</v>
      </c>
      <c r="U46" s="52"/>
      <c r="V46" s="36" t="s">
        <v>246</v>
      </c>
      <c r="W46" s="52" t="s">
        <v>503</v>
      </c>
      <c r="X46" s="47" t="s">
        <v>681</v>
      </c>
      <c r="Y46" s="56"/>
      <c r="Z46" s="69">
        <v>72</v>
      </c>
      <c r="AA46" s="68"/>
      <c r="AB46" s="69"/>
      <c r="AC46" s="68"/>
      <c r="AD46" s="69">
        <v>72</v>
      </c>
      <c r="AE46" s="68"/>
    </row>
    <row r="47" spans="1:31" ht="24">
      <c r="A47" s="82" t="s">
        <v>106</v>
      </c>
      <c r="B47" s="82">
        <v>362</v>
      </c>
      <c r="C47" s="52" t="s">
        <v>132</v>
      </c>
      <c r="D47" s="52" t="s">
        <v>133</v>
      </c>
      <c r="E47" s="53"/>
      <c r="F47" s="74">
        <v>149</v>
      </c>
      <c r="G47" s="74">
        <v>149</v>
      </c>
      <c r="H47" s="74">
        <v>149</v>
      </c>
      <c r="I47" s="74">
        <v>149</v>
      </c>
      <c r="J47" s="74">
        <v>149</v>
      </c>
      <c r="K47" s="51">
        <v>0</v>
      </c>
      <c r="L47" s="51">
        <v>500</v>
      </c>
      <c r="M47" s="46" t="s">
        <v>201</v>
      </c>
      <c r="N47" s="52" t="s">
        <v>214</v>
      </c>
      <c r="O47" s="36" t="s">
        <v>205</v>
      </c>
      <c r="P47" s="36" t="s">
        <v>204</v>
      </c>
      <c r="Q47" s="36" t="s">
        <v>205</v>
      </c>
      <c r="R47" s="36" t="s">
        <v>205</v>
      </c>
      <c r="S47" s="56" t="s">
        <v>204</v>
      </c>
      <c r="T47" s="36" t="s">
        <v>204</v>
      </c>
      <c r="U47" s="52"/>
      <c r="V47" s="36" t="s">
        <v>246</v>
      </c>
      <c r="W47" s="52" t="s">
        <v>504</v>
      </c>
      <c r="X47" s="47" t="s">
        <v>681</v>
      </c>
      <c r="Y47" s="56"/>
      <c r="Z47" s="69">
        <v>76</v>
      </c>
      <c r="AA47" s="68"/>
      <c r="AB47" s="69"/>
      <c r="AC47" s="68"/>
      <c r="AD47" s="69">
        <v>73</v>
      </c>
      <c r="AE47" s="68"/>
    </row>
    <row r="48" spans="1:31" ht="24">
      <c r="A48" s="82" t="s">
        <v>106</v>
      </c>
      <c r="B48" s="82">
        <v>363</v>
      </c>
      <c r="C48" s="52" t="s">
        <v>134</v>
      </c>
      <c r="D48" s="52" t="s">
        <v>135</v>
      </c>
      <c r="E48" s="53"/>
      <c r="F48" s="74">
        <v>756</v>
      </c>
      <c r="G48" s="74">
        <v>756</v>
      </c>
      <c r="H48" s="74">
        <v>756</v>
      </c>
      <c r="I48" s="74">
        <v>756</v>
      </c>
      <c r="J48" s="74">
        <v>756</v>
      </c>
      <c r="K48" s="74">
        <v>500</v>
      </c>
      <c r="L48" s="87">
        <v>4000</v>
      </c>
      <c r="M48" s="46" t="s">
        <v>201</v>
      </c>
      <c r="N48" s="52" t="s">
        <v>214</v>
      </c>
      <c r="O48" s="36" t="s">
        <v>205</v>
      </c>
      <c r="P48" s="36" t="s">
        <v>204</v>
      </c>
      <c r="Q48" s="36" t="s">
        <v>205</v>
      </c>
      <c r="R48" s="36" t="s">
        <v>205</v>
      </c>
      <c r="S48" s="56" t="s">
        <v>204</v>
      </c>
      <c r="T48" s="36" t="s">
        <v>204</v>
      </c>
      <c r="U48" s="52"/>
      <c r="V48" s="36" t="s">
        <v>246</v>
      </c>
      <c r="W48" s="52" t="s">
        <v>505</v>
      </c>
      <c r="X48" s="47" t="s">
        <v>681</v>
      </c>
      <c r="Y48" s="56"/>
      <c r="Z48" s="69">
        <v>78</v>
      </c>
      <c r="AA48" s="68"/>
      <c r="AB48" s="69"/>
      <c r="AC48" s="68"/>
      <c r="AD48" s="69">
        <v>75</v>
      </c>
      <c r="AE48" s="68"/>
    </row>
    <row r="49" spans="1:31" ht="24">
      <c r="A49" s="82" t="s">
        <v>106</v>
      </c>
      <c r="B49" s="82">
        <v>364</v>
      </c>
      <c r="C49" s="52" t="s">
        <v>136</v>
      </c>
      <c r="D49" s="52" t="s">
        <v>137</v>
      </c>
      <c r="E49" s="53"/>
      <c r="F49" s="78">
        <v>1512</v>
      </c>
      <c r="G49" s="78">
        <v>1512</v>
      </c>
      <c r="H49" s="78">
        <v>1512</v>
      </c>
      <c r="I49" s="78">
        <v>1512</v>
      </c>
      <c r="J49" s="78">
        <v>1512</v>
      </c>
      <c r="K49" s="51">
        <v>1000</v>
      </c>
      <c r="L49" s="78">
        <v>4000</v>
      </c>
      <c r="M49" s="46" t="s">
        <v>201</v>
      </c>
      <c r="N49" s="52" t="s">
        <v>214</v>
      </c>
      <c r="O49" s="36" t="s">
        <v>205</v>
      </c>
      <c r="P49" s="36" t="s">
        <v>204</v>
      </c>
      <c r="Q49" s="36" t="s">
        <v>205</v>
      </c>
      <c r="R49" s="36" t="s">
        <v>205</v>
      </c>
      <c r="S49" s="56" t="s">
        <v>204</v>
      </c>
      <c r="T49" s="36" t="s">
        <v>204</v>
      </c>
      <c r="U49" s="52"/>
      <c r="V49" s="36" t="s">
        <v>246</v>
      </c>
      <c r="W49" s="52" t="s">
        <v>506</v>
      </c>
      <c r="X49" s="47" t="s">
        <v>681</v>
      </c>
      <c r="Y49" s="56"/>
      <c r="Z49" s="69">
        <v>80</v>
      </c>
      <c r="AA49" s="68"/>
      <c r="AB49" s="69"/>
      <c r="AC49" s="68"/>
      <c r="AD49" s="69">
        <v>77</v>
      </c>
      <c r="AE49" s="68"/>
    </row>
    <row r="50" spans="1:31" ht="24">
      <c r="A50" s="82" t="s">
        <v>106</v>
      </c>
      <c r="B50" s="82">
        <v>365</v>
      </c>
      <c r="C50" s="52" t="s">
        <v>138</v>
      </c>
      <c r="D50" s="52" t="s">
        <v>374</v>
      </c>
      <c r="E50" s="53"/>
      <c r="F50" s="78">
        <v>1632</v>
      </c>
      <c r="G50" s="78">
        <v>1632</v>
      </c>
      <c r="H50" s="78">
        <v>1632</v>
      </c>
      <c r="I50" s="78">
        <v>1632</v>
      </c>
      <c r="J50" s="78">
        <v>1632</v>
      </c>
      <c r="K50" s="51">
        <v>1000</v>
      </c>
      <c r="L50" s="78">
        <v>4000</v>
      </c>
      <c r="M50" s="46" t="s">
        <v>201</v>
      </c>
      <c r="N50" s="52" t="s">
        <v>214</v>
      </c>
      <c r="O50" s="36" t="s">
        <v>205</v>
      </c>
      <c r="P50" s="36" t="s">
        <v>204</v>
      </c>
      <c r="Q50" s="36" t="s">
        <v>205</v>
      </c>
      <c r="R50" s="36" t="s">
        <v>205</v>
      </c>
      <c r="S50" s="56" t="s">
        <v>204</v>
      </c>
      <c r="T50" s="36" t="s">
        <v>204</v>
      </c>
      <c r="U50" s="52"/>
      <c r="V50" s="36" t="s">
        <v>246</v>
      </c>
      <c r="W50" s="52" t="s">
        <v>507</v>
      </c>
      <c r="X50" s="47" t="s">
        <v>681</v>
      </c>
      <c r="Y50" s="56"/>
      <c r="Z50" s="69">
        <v>82</v>
      </c>
      <c r="AA50" s="68"/>
      <c r="AB50" s="69"/>
      <c r="AC50" s="68"/>
      <c r="AD50" s="69">
        <v>79</v>
      </c>
      <c r="AE50" s="68"/>
    </row>
    <row r="51" spans="1:31" ht="24">
      <c r="A51" s="82" t="s">
        <v>106</v>
      </c>
      <c r="B51" s="82">
        <v>366</v>
      </c>
      <c r="C51" s="52" t="s">
        <v>139</v>
      </c>
      <c r="D51" s="52" t="s">
        <v>140</v>
      </c>
      <c r="E51" s="53"/>
      <c r="F51" s="74">
        <v>59</v>
      </c>
      <c r="G51" s="74">
        <v>59</v>
      </c>
      <c r="H51" s="74">
        <v>59</v>
      </c>
      <c r="I51" s="74">
        <v>59</v>
      </c>
      <c r="J51" s="74">
        <v>59</v>
      </c>
      <c r="K51" s="51">
        <v>0</v>
      </c>
      <c r="L51" s="51">
        <v>250</v>
      </c>
      <c r="M51" s="46" t="s">
        <v>200</v>
      </c>
      <c r="N51" s="52" t="s">
        <v>214</v>
      </c>
      <c r="O51" s="36" t="s">
        <v>205</v>
      </c>
      <c r="P51" s="36" t="s">
        <v>204</v>
      </c>
      <c r="Q51" s="36" t="s">
        <v>205</v>
      </c>
      <c r="R51" s="36" t="s">
        <v>205</v>
      </c>
      <c r="S51" s="56" t="s">
        <v>204</v>
      </c>
      <c r="T51" s="36" t="s">
        <v>204</v>
      </c>
      <c r="U51" s="52"/>
      <c r="V51" s="36" t="s">
        <v>246</v>
      </c>
      <c r="W51" s="52" t="s">
        <v>508</v>
      </c>
      <c r="X51" s="47" t="s">
        <v>681</v>
      </c>
      <c r="Y51" s="56"/>
      <c r="Z51" s="69">
        <v>73</v>
      </c>
      <c r="AA51" s="68"/>
      <c r="AB51" s="69"/>
      <c r="AC51" s="68"/>
      <c r="AD51" s="69">
        <v>81</v>
      </c>
      <c r="AE51" s="68"/>
    </row>
    <row r="52" spans="1:31" ht="24">
      <c r="A52" s="82" t="s">
        <v>106</v>
      </c>
      <c r="B52" s="82">
        <v>367</v>
      </c>
      <c r="C52" s="52" t="s">
        <v>141</v>
      </c>
      <c r="D52" s="52" t="s">
        <v>142</v>
      </c>
      <c r="E52" s="53"/>
      <c r="F52" s="74">
        <v>500</v>
      </c>
      <c r="G52" s="74">
        <v>500</v>
      </c>
      <c r="H52" s="74">
        <v>500</v>
      </c>
      <c r="I52" s="74">
        <v>500</v>
      </c>
      <c r="J52" s="74">
        <v>500</v>
      </c>
      <c r="K52" s="51">
        <v>0</v>
      </c>
      <c r="L52" s="51">
        <v>2000</v>
      </c>
      <c r="M52" s="46" t="s">
        <v>201</v>
      </c>
      <c r="N52" s="52" t="s">
        <v>214</v>
      </c>
      <c r="O52" s="36" t="s">
        <v>205</v>
      </c>
      <c r="P52" s="36" t="s">
        <v>204</v>
      </c>
      <c r="Q52" s="36" t="s">
        <v>205</v>
      </c>
      <c r="R52" s="36" t="s">
        <v>205</v>
      </c>
      <c r="S52" s="56" t="s">
        <v>204</v>
      </c>
      <c r="T52" s="36" t="s">
        <v>204</v>
      </c>
      <c r="U52" s="52"/>
      <c r="V52" s="36" t="s">
        <v>246</v>
      </c>
      <c r="W52" s="52" t="s">
        <v>509</v>
      </c>
      <c r="X52" s="47" t="s">
        <v>681</v>
      </c>
      <c r="Y52" s="56"/>
      <c r="Z52" s="69">
        <v>84</v>
      </c>
      <c r="AA52" s="68"/>
      <c r="AB52" s="69"/>
      <c r="AC52" s="68"/>
      <c r="AD52" s="69">
        <v>82</v>
      </c>
      <c r="AE52" s="68"/>
    </row>
    <row r="53" spans="1:31" ht="36">
      <c r="A53" s="82">
        <v>763</v>
      </c>
      <c r="B53" s="82">
        <v>368</v>
      </c>
      <c r="C53" s="52" t="s">
        <v>143</v>
      </c>
      <c r="D53" s="52" t="s">
        <v>144</v>
      </c>
      <c r="E53" s="53"/>
      <c r="F53" s="74">
        <v>0</v>
      </c>
      <c r="G53" s="51">
        <v>0</v>
      </c>
      <c r="H53" s="51">
        <v>0</v>
      </c>
      <c r="I53" s="51">
        <v>0</v>
      </c>
      <c r="J53" s="51">
        <v>0</v>
      </c>
      <c r="K53" s="51">
        <v>0</v>
      </c>
      <c r="L53" s="51">
        <v>255</v>
      </c>
      <c r="M53" s="46" t="s">
        <v>200</v>
      </c>
      <c r="N53" s="52" t="s">
        <v>216</v>
      </c>
      <c r="O53" s="36" t="s">
        <v>205</v>
      </c>
      <c r="P53" s="36" t="s">
        <v>205</v>
      </c>
      <c r="Q53" s="36" t="s">
        <v>205</v>
      </c>
      <c r="R53" s="36" t="s">
        <v>205</v>
      </c>
      <c r="S53" s="36" t="s">
        <v>204</v>
      </c>
      <c r="T53" s="36" t="s">
        <v>204</v>
      </c>
      <c r="U53" s="52"/>
      <c r="V53" s="36" t="s">
        <v>246</v>
      </c>
      <c r="W53" s="52" t="s">
        <v>510</v>
      </c>
      <c r="X53" s="47" t="s">
        <v>681</v>
      </c>
      <c r="Y53" s="56"/>
      <c r="Z53" s="69">
        <v>74</v>
      </c>
      <c r="AA53" s="68"/>
      <c r="AB53" s="69"/>
      <c r="AC53" s="68"/>
      <c r="AD53" s="69">
        <v>84</v>
      </c>
      <c r="AE53" s="68"/>
    </row>
    <row r="54" spans="1:31" ht="36">
      <c r="A54" s="82">
        <v>763</v>
      </c>
      <c r="B54" s="82">
        <v>369</v>
      </c>
      <c r="C54" s="52" t="s">
        <v>145</v>
      </c>
      <c r="D54" s="52" t="s">
        <v>146</v>
      </c>
      <c r="E54" s="53"/>
      <c r="F54" s="94">
        <v>65</v>
      </c>
      <c r="G54" s="94">
        <v>65</v>
      </c>
      <c r="H54" s="94">
        <v>65</v>
      </c>
      <c r="I54" s="94">
        <v>65</v>
      </c>
      <c r="J54" s="94">
        <v>65</v>
      </c>
      <c r="K54" s="51">
        <v>1</v>
      </c>
      <c r="L54" s="51">
        <v>255</v>
      </c>
      <c r="M54" s="46" t="s">
        <v>200</v>
      </c>
      <c r="N54" s="52" t="s">
        <v>217</v>
      </c>
      <c r="O54" s="36" t="s">
        <v>205</v>
      </c>
      <c r="P54" s="36" t="s">
        <v>205</v>
      </c>
      <c r="Q54" s="36" t="s">
        <v>205</v>
      </c>
      <c r="R54" s="36" t="s">
        <v>205</v>
      </c>
      <c r="S54" s="36" t="s">
        <v>204</v>
      </c>
      <c r="T54" s="36" t="s">
        <v>204</v>
      </c>
      <c r="U54" s="52"/>
      <c r="V54" s="36" t="s">
        <v>246</v>
      </c>
      <c r="W54" s="52" t="s">
        <v>511</v>
      </c>
      <c r="X54" s="102" t="s">
        <v>725</v>
      </c>
      <c r="Y54" s="56"/>
      <c r="Z54" s="69">
        <v>75</v>
      </c>
      <c r="AA54" s="68"/>
      <c r="AB54" s="69"/>
      <c r="AC54" s="68"/>
      <c r="AD54" s="69">
        <v>85</v>
      </c>
      <c r="AE54" s="68"/>
    </row>
    <row r="55" spans="1:31" ht="24">
      <c r="A55" s="110">
        <v>763</v>
      </c>
      <c r="B55" s="110">
        <v>370</v>
      </c>
      <c r="C55" s="111" t="s">
        <v>512</v>
      </c>
      <c r="D55" s="111" t="s">
        <v>728</v>
      </c>
      <c r="E55" s="125"/>
      <c r="F55" s="112">
        <v>110</v>
      </c>
      <c r="G55" s="112">
        <v>110</v>
      </c>
      <c r="H55" s="112">
        <v>110</v>
      </c>
      <c r="I55" s="112">
        <v>110</v>
      </c>
      <c r="J55" s="112">
        <v>110</v>
      </c>
      <c r="K55" s="110">
        <v>0</v>
      </c>
      <c r="L55" s="110">
        <v>120</v>
      </c>
      <c r="M55" s="113" t="s">
        <v>200</v>
      </c>
      <c r="N55" s="111" t="s">
        <v>218</v>
      </c>
      <c r="O55" s="36" t="s">
        <v>205</v>
      </c>
      <c r="P55" s="36" t="s">
        <v>205</v>
      </c>
      <c r="Q55" s="36" t="s">
        <v>205</v>
      </c>
      <c r="R55" s="36" t="s">
        <v>205</v>
      </c>
      <c r="S55" s="36" t="s">
        <v>204</v>
      </c>
      <c r="T55" s="36" t="s">
        <v>204</v>
      </c>
      <c r="U55" s="52"/>
      <c r="V55" s="36" t="s">
        <v>246</v>
      </c>
      <c r="W55" s="52" t="s">
        <v>513</v>
      </c>
      <c r="X55" s="47" t="s">
        <v>681</v>
      </c>
      <c r="Y55" s="56"/>
      <c r="Z55" s="69">
        <v>88</v>
      </c>
      <c r="AA55" s="68"/>
      <c r="AB55" s="69"/>
      <c r="AC55" s="68"/>
      <c r="AD55" s="69">
        <v>86</v>
      </c>
      <c r="AE55" s="68"/>
    </row>
    <row r="56" spans="1:31" ht="24">
      <c r="A56" s="82">
        <v>763</v>
      </c>
      <c r="B56" s="82">
        <v>371</v>
      </c>
      <c r="C56" s="52" t="s">
        <v>147</v>
      </c>
      <c r="D56" s="52" t="s">
        <v>514</v>
      </c>
      <c r="E56" s="53"/>
      <c r="F56" s="74">
        <v>25</v>
      </c>
      <c r="G56" s="74">
        <v>25</v>
      </c>
      <c r="H56" s="74">
        <v>25</v>
      </c>
      <c r="I56" s="74">
        <v>25</v>
      </c>
      <c r="J56" s="74">
        <v>25</v>
      </c>
      <c r="K56" s="51">
        <v>0</v>
      </c>
      <c r="L56" s="51">
        <v>50</v>
      </c>
      <c r="M56" s="46" t="s">
        <v>200</v>
      </c>
      <c r="N56" s="52" t="s">
        <v>515</v>
      </c>
      <c r="O56" s="36" t="s">
        <v>205</v>
      </c>
      <c r="P56" s="36" t="s">
        <v>205</v>
      </c>
      <c r="Q56" s="36" t="s">
        <v>205</v>
      </c>
      <c r="R56" s="36" t="s">
        <v>205</v>
      </c>
      <c r="S56" s="36" t="s">
        <v>204</v>
      </c>
      <c r="T56" s="36" t="s">
        <v>204</v>
      </c>
      <c r="U56" s="52"/>
      <c r="V56" s="36" t="s">
        <v>246</v>
      </c>
      <c r="W56" s="52" t="s">
        <v>516</v>
      </c>
      <c r="X56" s="47" t="s">
        <v>681</v>
      </c>
      <c r="Y56" s="56"/>
      <c r="Z56" s="69">
        <v>89</v>
      </c>
      <c r="AA56" s="68"/>
      <c r="AB56" s="69"/>
      <c r="AC56" s="68"/>
      <c r="AD56" s="69">
        <v>87</v>
      </c>
      <c r="AE56" s="68"/>
    </row>
    <row r="57" spans="1:31" ht="60">
      <c r="A57" s="82" t="s">
        <v>106</v>
      </c>
      <c r="B57" s="82">
        <v>372</v>
      </c>
      <c r="C57" s="52" t="s">
        <v>148</v>
      </c>
      <c r="D57" s="52" t="s">
        <v>149</v>
      </c>
      <c r="E57" s="53"/>
      <c r="F57" s="94">
        <v>35</v>
      </c>
      <c r="G57" s="94">
        <v>35</v>
      </c>
      <c r="H57" s="94">
        <v>35</v>
      </c>
      <c r="I57" s="94">
        <v>35</v>
      </c>
      <c r="J57" s="94">
        <v>35</v>
      </c>
      <c r="K57" s="51">
        <v>0</v>
      </c>
      <c r="L57" s="51">
        <v>250</v>
      </c>
      <c r="M57" s="46" t="s">
        <v>200</v>
      </c>
      <c r="N57" s="52" t="s">
        <v>219</v>
      </c>
      <c r="O57" s="36" t="s">
        <v>205</v>
      </c>
      <c r="P57" s="36" t="s">
        <v>205</v>
      </c>
      <c r="Q57" s="36" t="s">
        <v>205</v>
      </c>
      <c r="R57" s="36" t="s">
        <v>205</v>
      </c>
      <c r="S57" s="36" t="s">
        <v>204</v>
      </c>
      <c r="T57" s="36" t="s">
        <v>204</v>
      </c>
      <c r="U57" s="52"/>
      <c r="V57" s="36" t="s">
        <v>246</v>
      </c>
      <c r="W57" s="52" t="s">
        <v>517</v>
      </c>
      <c r="X57" s="102" t="s">
        <v>725</v>
      </c>
      <c r="Y57" s="56"/>
      <c r="Z57" s="69">
        <v>90</v>
      </c>
      <c r="AA57" s="68"/>
      <c r="AB57" s="69"/>
      <c r="AC57" s="68"/>
      <c r="AD57" s="69">
        <v>88</v>
      </c>
      <c r="AE57" s="68"/>
    </row>
    <row r="58" spans="1:31" ht="60">
      <c r="A58" s="82">
        <v>763</v>
      </c>
      <c r="B58" s="82">
        <v>373</v>
      </c>
      <c r="C58" s="52" t="s">
        <v>150</v>
      </c>
      <c r="D58" s="52" t="s">
        <v>151</v>
      </c>
      <c r="E58" s="53"/>
      <c r="F58" s="74">
        <v>90</v>
      </c>
      <c r="G58" s="74">
        <v>90</v>
      </c>
      <c r="H58" s="74">
        <v>90</v>
      </c>
      <c r="I58" s="74">
        <v>90</v>
      </c>
      <c r="J58" s="74">
        <v>90</v>
      </c>
      <c r="K58" s="51">
        <v>0</v>
      </c>
      <c r="L58" s="51">
        <v>250</v>
      </c>
      <c r="M58" s="46" t="s">
        <v>200</v>
      </c>
      <c r="N58" s="52" t="s">
        <v>220</v>
      </c>
      <c r="O58" s="36" t="s">
        <v>205</v>
      </c>
      <c r="P58" s="36" t="s">
        <v>205</v>
      </c>
      <c r="Q58" s="36" t="s">
        <v>205</v>
      </c>
      <c r="R58" s="36" t="s">
        <v>205</v>
      </c>
      <c r="S58" s="36" t="s">
        <v>204</v>
      </c>
      <c r="T58" s="36" t="s">
        <v>204</v>
      </c>
      <c r="U58" s="52"/>
      <c r="V58" s="36" t="s">
        <v>246</v>
      </c>
      <c r="W58" s="52" t="s">
        <v>518</v>
      </c>
      <c r="X58" s="47" t="s">
        <v>681</v>
      </c>
      <c r="Y58" s="56"/>
      <c r="Z58" s="69">
        <v>91</v>
      </c>
      <c r="AA58" s="68"/>
      <c r="AB58" s="69"/>
      <c r="AC58" s="68"/>
      <c r="AD58" s="69">
        <v>89</v>
      </c>
      <c r="AE58" s="68"/>
    </row>
    <row r="59" spans="1:31" ht="36">
      <c r="A59" s="82">
        <v>763</v>
      </c>
      <c r="B59" s="82">
        <v>374</v>
      </c>
      <c r="C59" s="52" t="s">
        <v>405</v>
      </c>
      <c r="D59" s="52" t="s">
        <v>375</v>
      </c>
      <c r="E59" s="53"/>
      <c r="F59" s="92">
        <v>0</v>
      </c>
      <c r="G59" s="92">
        <v>0</v>
      </c>
      <c r="H59" s="92">
        <v>0</v>
      </c>
      <c r="I59" s="92">
        <v>0</v>
      </c>
      <c r="J59" s="92">
        <v>0</v>
      </c>
      <c r="K59" s="51">
        <v>0</v>
      </c>
      <c r="L59" s="51">
        <v>50</v>
      </c>
      <c r="M59" s="46" t="s">
        <v>200</v>
      </c>
      <c r="N59" s="52" t="s">
        <v>221</v>
      </c>
      <c r="O59" s="36" t="s">
        <v>205</v>
      </c>
      <c r="P59" s="36" t="s">
        <v>205</v>
      </c>
      <c r="Q59" s="36" t="s">
        <v>205</v>
      </c>
      <c r="R59" s="36" t="s">
        <v>205</v>
      </c>
      <c r="S59" s="36" t="s">
        <v>204</v>
      </c>
      <c r="T59" s="36" t="s">
        <v>204</v>
      </c>
      <c r="U59" s="52"/>
      <c r="V59" s="36" t="s">
        <v>246</v>
      </c>
      <c r="W59" s="52" t="s">
        <v>519</v>
      </c>
      <c r="X59" s="47" t="s">
        <v>681</v>
      </c>
      <c r="Y59" s="56"/>
      <c r="Z59" s="69">
        <v>92</v>
      </c>
      <c r="AA59" s="68"/>
      <c r="AB59" s="69"/>
      <c r="AC59" s="68"/>
      <c r="AD59" s="69">
        <v>90</v>
      </c>
      <c r="AE59" s="68"/>
    </row>
    <row r="60" spans="1:31" ht="36">
      <c r="A60" s="82">
        <v>763</v>
      </c>
      <c r="B60" s="82">
        <v>375</v>
      </c>
      <c r="C60" s="52" t="s">
        <v>406</v>
      </c>
      <c r="D60" s="52" t="s">
        <v>376</v>
      </c>
      <c r="E60" s="53"/>
      <c r="F60" s="92">
        <v>0</v>
      </c>
      <c r="G60" s="92">
        <v>0</v>
      </c>
      <c r="H60" s="92">
        <v>0</v>
      </c>
      <c r="I60" s="92">
        <v>0</v>
      </c>
      <c r="J60" s="92">
        <v>0</v>
      </c>
      <c r="K60" s="51">
        <v>0</v>
      </c>
      <c r="L60" s="51">
        <v>50</v>
      </c>
      <c r="M60" s="46" t="s">
        <v>200</v>
      </c>
      <c r="N60" s="52" t="s">
        <v>222</v>
      </c>
      <c r="O60" s="36" t="s">
        <v>205</v>
      </c>
      <c r="P60" s="36" t="s">
        <v>205</v>
      </c>
      <c r="Q60" s="36" t="s">
        <v>205</v>
      </c>
      <c r="R60" s="36" t="s">
        <v>205</v>
      </c>
      <c r="S60" s="36" t="s">
        <v>204</v>
      </c>
      <c r="T60" s="36" t="s">
        <v>204</v>
      </c>
      <c r="U60" s="52"/>
      <c r="V60" s="36" t="s">
        <v>246</v>
      </c>
      <c r="W60" s="52" t="s">
        <v>520</v>
      </c>
      <c r="X60" s="47" t="s">
        <v>681</v>
      </c>
      <c r="Y60" s="56"/>
      <c r="Z60" s="69">
        <v>93</v>
      </c>
      <c r="AA60" s="68"/>
      <c r="AB60" s="69"/>
      <c r="AC60" s="68"/>
      <c r="AD60" s="69">
        <v>91</v>
      </c>
      <c r="AE60" s="68"/>
    </row>
    <row r="61" spans="1:31" ht="60">
      <c r="A61" s="82" t="s">
        <v>106</v>
      </c>
      <c r="B61" s="82">
        <v>376</v>
      </c>
      <c r="C61" s="52" t="s">
        <v>521</v>
      </c>
      <c r="D61" s="52" t="s">
        <v>522</v>
      </c>
      <c r="E61" s="53"/>
      <c r="F61" s="74">
        <v>0</v>
      </c>
      <c r="G61" s="74">
        <v>0</v>
      </c>
      <c r="H61" s="74">
        <v>0</v>
      </c>
      <c r="I61" s="74">
        <v>0</v>
      </c>
      <c r="J61" s="74">
        <v>0</v>
      </c>
      <c r="K61" s="51">
        <v>0</v>
      </c>
      <c r="L61" s="51">
        <v>450</v>
      </c>
      <c r="M61" s="46" t="s">
        <v>201</v>
      </c>
      <c r="N61" s="52" t="s">
        <v>223</v>
      </c>
      <c r="O61" s="36" t="s">
        <v>205</v>
      </c>
      <c r="P61" s="36" t="s">
        <v>205</v>
      </c>
      <c r="Q61" s="36" t="s">
        <v>205</v>
      </c>
      <c r="R61" s="36" t="s">
        <v>205</v>
      </c>
      <c r="S61" s="36" t="s">
        <v>204</v>
      </c>
      <c r="T61" s="36" t="s">
        <v>204</v>
      </c>
      <c r="U61" s="52"/>
      <c r="V61" s="36" t="s">
        <v>246</v>
      </c>
      <c r="W61" s="52" t="s">
        <v>523</v>
      </c>
      <c r="X61" s="47" t="s">
        <v>681</v>
      </c>
      <c r="Y61" s="56"/>
      <c r="Z61" s="69">
        <v>86</v>
      </c>
      <c r="AA61" s="68"/>
      <c r="AB61" s="69"/>
      <c r="AC61" s="68"/>
      <c r="AD61" s="69">
        <v>92</v>
      </c>
      <c r="AE61" s="68"/>
    </row>
    <row r="62" spans="1:31" ht="60">
      <c r="A62" s="82" t="s">
        <v>106</v>
      </c>
      <c r="B62" s="82">
        <v>377</v>
      </c>
      <c r="C62" s="52" t="s">
        <v>524</v>
      </c>
      <c r="D62" s="52" t="s">
        <v>152</v>
      </c>
      <c r="E62" s="53"/>
      <c r="F62" s="74">
        <v>0</v>
      </c>
      <c r="G62" s="74">
        <v>0</v>
      </c>
      <c r="H62" s="74">
        <v>0</v>
      </c>
      <c r="I62" s="74">
        <v>0</v>
      </c>
      <c r="J62" s="74">
        <v>0</v>
      </c>
      <c r="K62" s="51">
        <v>0</v>
      </c>
      <c r="L62" s="51">
        <v>450</v>
      </c>
      <c r="M62" s="46" t="s">
        <v>201</v>
      </c>
      <c r="N62" s="52" t="s">
        <v>223</v>
      </c>
      <c r="O62" s="36" t="s">
        <v>205</v>
      </c>
      <c r="P62" s="36" t="s">
        <v>205</v>
      </c>
      <c r="Q62" s="36" t="s">
        <v>205</v>
      </c>
      <c r="R62" s="36" t="s">
        <v>205</v>
      </c>
      <c r="S62" s="36" t="s">
        <v>204</v>
      </c>
      <c r="T62" s="36" t="s">
        <v>204</v>
      </c>
      <c r="U62" s="52"/>
      <c r="V62" s="36" t="s">
        <v>246</v>
      </c>
      <c r="W62" s="52" t="s">
        <v>525</v>
      </c>
      <c r="X62" s="47" t="s">
        <v>681</v>
      </c>
      <c r="Y62" s="56"/>
      <c r="Z62" s="69">
        <v>96</v>
      </c>
      <c r="AA62" s="68"/>
      <c r="AB62" s="69"/>
      <c r="AC62" s="68"/>
      <c r="AD62" s="69">
        <v>94</v>
      </c>
      <c r="AE62" s="68"/>
    </row>
    <row r="63" spans="1:31" ht="60">
      <c r="A63" s="82" t="s">
        <v>106</v>
      </c>
      <c r="B63" s="82">
        <v>378</v>
      </c>
      <c r="C63" s="52" t="s">
        <v>526</v>
      </c>
      <c r="D63" s="52" t="s">
        <v>153</v>
      </c>
      <c r="E63" s="53"/>
      <c r="F63" s="94">
        <v>300</v>
      </c>
      <c r="G63" s="94">
        <v>300</v>
      </c>
      <c r="H63" s="94">
        <v>300</v>
      </c>
      <c r="I63" s="94">
        <v>300</v>
      </c>
      <c r="J63" s="94">
        <v>300</v>
      </c>
      <c r="K63" s="51">
        <v>0</v>
      </c>
      <c r="L63" s="51">
        <v>450</v>
      </c>
      <c r="M63" s="46" t="s">
        <v>201</v>
      </c>
      <c r="N63" s="52" t="s">
        <v>224</v>
      </c>
      <c r="O63" s="36" t="s">
        <v>205</v>
      </c>
      <c r="P63" s="36" t="s">
        <v>205</v>
      </c>
      <c r="Q63" s="36" t="s">
        <v>205</v>
      </c>
      <c r="R63" s="36" t="s">
        <v>205</v>
      </c>
      <c r="S63" s="36" t="s">
        <v>204</v>
      </c>
      <c r="T63" s="36" t="s">
        <v>204</v>
      </c>
      <c r="U63" s="52"/>
      <c r="V63" s="36" t="s">
        <v>246</v>
      </c>
      <c r="W63" s="52" t="s">
        <v>527</v>
      </c>
      <c r="X63" s="102" t="s">
        <v>725</v>
      </c>
      <c r="Y63" s="56"/>
      <c r="Z63" s="69">
        <v>98</v>
      </c>
      <c r="AA63" s="68"/>
      <c r="AB63" s="69"/>
      <c r="AC63" s="68"/>
      <c r="AD63" s="69">
        <v>96</v>
      </c>
      <c r="AE63" s="68"/>
    </row>
    <row r="64" spans="1:31" ht="60">
      <c r="A64" s="82" t="s">
        <v>106</v>
      </c>
      <c r="B64" s="82">
        <v>379</v>
      </c>
      <c r="C64" s="52" t="s">
        <v>528</v>
      </c>
      <c r="D64" s="52" t="s">
        <v>154</v>
      </c>
      <c r="E64" s="53"/>
      <c r="F64" s="74">
        <v>0</v>
      </c>
      <c r="G64" s="74">
        <v>0</v>
      </c>
      <c r="H64" s="74">
        <v>0</v>
      </c>
      <c r="I64" s="74">
        <v>0</v>
      </c>
      <c r="J64" s="74">
        <v>0</v>
      </c>
      <c r="K64" s="51">
        <v>0</v>
      </c>
      <c r="L64" s="51">
        <v>450</v>
      </c>
      <c r="M64" s="46" t="s">
        <v>201</v>
      </c>
      <c r="N64" s="52" t="s">
        <v>224</v>
      </c>
      <c r="O64" s="36" t="s">
        <v>205</v>
      </c>
      <c r="P64" s="36" t="s">
        <v>205</v>
      </c>
      <c r="Q64" s="36" t="s">
        <v>205</v>
      </c>
      <c r="R64" s="36" t="s">
        <v>205</v>
      </c>
      <c r="S64" s="36" t="s">
        <v>204</v>
      </c>
      <c r="T64" s="36" t="s">
        <v>204</v>
      </c>
      <c r="U64" s="52"/>
      <c r="V64" s="36" t="s">
        <v>246</v>
      </c>
      <c r="W64" s="52" t="s">
        <v>529</v>
      </c>
      <c r="X64" s="47" t="s">
        <v>681</v>
      </c>
      <c r="Y64" s="56"/>
      <c r="Z64" s="69">
        <v>100</v>
      </c>
      <c r="AA64" s="68"/>
      <c r="AB64" s="69"/>
      <c r="AC64" s="68"/>
      <c r="AD64" s="69">
        <v>98</v>
      </c>
      <c r="AE64" s="68"/>
    </row>
    <row r="65" spans="1:31" ht="60">
      <c r="A65" s="85" t="s">
        <v>106</v>
      </c>
      <c r="B65" s="85">
        <v>380</v>
      </c>
      <c r="C65" s="88" t="s">
        <v>398</v>
      </c>
      <c r="D65" s="88" t="s">
        <v>415</v>
      </c>
      <c r="E65" s="86"/>
      <c r="F65" s="89">
        <v>0</v>
      </c>
      <c r="G65" s="89">
        <v>0</v>
      </c>
      <c r="H65" s="89">
        <v>0</v>
      </c>
      <c r="I65" s="89">
        <v>0</v>
      </c>
      <c r="J65" s="89">
        <v>0</v>
      </c>
      <c r="K65" s="85">
        <v>0</v>
      </c>
      <c r="L65" s="85">
        <v>450</v>
      </c>
      <c r="M65" s="90" t="s">
        <v>201</v>
      </c>
      <c r="N65" s="88" t="s">
        <v>400</v>
      </c>
      <c r="O65" s="36" t="s">
        <v>205</v>
      </c>
      <c r="P65" s="36" t="s">
        <v>205</v>
      </c>
      <c r="Q65" s="36" t="s">
        <v>205</v>
      </c>
      <c r="R65" s="36" t="s">
        <v>205</v>
      </c>
      <c r="S65" s="36" t="s">
        <v>204</v>
      </c>
      <c r="T65" s="36" t="s">
        <v>204</v>
      </c>
      <c r="U65" s="52"/>
      <c r="V65" s="36" t="s">
        <v>246</v>
      </c>
      <c r="W65" s="52" t="s">
        <v>530</v>
      </c>
      <c r="X65" s="47" t="s">
        <v>681</v>
      </c>
      <c r="Y65" s="56"/>
      <c r="Z65" s="69">
        <v>102</v>
      </c>
      <c r="AA65" s="68"/>
      <c r="AB65" s="69"/>
      <c r="AC65" s="68"/>
      <c r="AD65" s="69">
        <v>100</v>
      </c>
      <c r="AE65" s="68"/>
    </row>
    <row r="66" spans="1:31" ht="60">
      <c r="A66" s="85" t="s">
        <v>106</v>
      </c>
      <c r="B66" s="85">
        <v>381</v>
      </c>
      <c r="C66" s="88" t="s">
        <v>399</v>
      </c>
      <c r="D66" s="88" t="s">
        <v>531</v>
      </c>
      <c r="E66" s="86"/>
      <c r="F66" s="89">
        <v>0</v>
      </c>
      <c r="G66" s="89">
        <v>0</v>
      </c>
      <c r="H66" s="89">
        <v>0</v>
      </c>
      <c r="I66" s="89">
        <v>0</v>
      </c>
      <c r="J66" s="89">
        <v>0</v>
      </c>
      <c r="K66" s="85">
        <v>0</v>
      </c>
      <c r="L66" s="85">
        <v>450</v>
      </c>
      <c r="M66" s="90" t="s">
        <v>201</v>
      </c>
      <c r="N66" s="88" t="s">
        <v>400</v>
      </c>
      <c r="O66" s="36" t="s">
        <v>205</v>
      </c>
      <c r="P66" s="36" t="s">
        <v>205</v>
      </c>
      <c r="Q66" s="36" t="s">
        <v>205</v>
      </c>
      <c r="R66" s="36" t="s">
        <v>205</v>
      </c>
      <c r="S66" s="36" t="s">
        <v>204</v>
      </c>
      <c r="T66" s="36" t="s">
        <v>204</v>
      </c>
      <c r="U66" s="52"/>
      <c r="V66" s="36" t="s">
        <v>246</v>
      </c>
      <c r="W66" s="52" t="s">
        <v>532</v>
      </c>
      <c r="X66" s="47" t="s">
        <v>681</v>
      </c>
      <c r="Y66" s="56"/>
      <c r="Z66" s="69">
        <v>104</v>
      </c>
      <c r="AA66" s="68"/>
      <c r="AB66" s="69"/>
      <c r="AC66" s="68"/>
      <c r="AD66" s="69">
        <v>102</v>
      </c>
      <c r="AE66" s="68"/>
    </row>
    <row r="67" spans="1:31" ht="24">
      <c r="A67" s="82" t="s">
        <v>106</v>
      </c>
      <c r="B67" s="82">
        <v>382</v>
      </c>
      <c r="C67" s="52" t="s">
        <v>155</v>
      </c>
      <c r="D67" s="52" t="s">
        <v>377</v>
      </c>
      <c r="E67" s="53"/>
      <c r="F67" s="94">
        <v>60</v>
      </c>
      <c r="G67" s="94">
        <v>60</v>
      </c>
      <c r="H67" s="94">
        <v>60</v>
      </c>
      <c r="I67" s="94">
        <v>60</v>
      </c>
      <c r="J67" s="94">
        <v>60</v>
      </c>
      <c r="K67" s="51">
        <v>1</v>
      </c>
      <c r="L67" s="51">
        <v>150</v>
      </c>
      <c r="M67" s="46" t="s">
        <v>200</v>
      </c>
      <c r="N67" s="52" t="s">
        <v>225</v>
      </c>
      <c r="O67" s="36" t="s">
        <v>205</v>
      </c>
      <c r="P67" s="36" t="s">
        <v>204</v>
      </c>
      <c r="Q67" s="36" t="s">
        <v>205</v>
      </c>
      <c r="R67" s="36" t="s">
        <v>205</v>
      </c>
      <c r="S67" s="56" t="s">
        <v>204</v>
      </c>
      <c r="T67" s="36" t="s">
        <v>204</v>
      </c>
      <c r="U67" s="52"/>
      <c r="V67" s="36" t="s">
        <v>246</v>
      </c>
      <c r="W67" s="52" t="s">
        <v>533</v>
      </c>
      <c r="X67" s="102" t="s">
        <v>725</v>
      </c>
      <c r="Y67" s="56"/>
      <c r="Z67" s="69">
        <v>94</v>
      </c>
      <c r="AA67" s="68"/>
      <c r="AB67" s="69"/>
      <c r="AC67" s="68"/>
      <c r="AD67" s="69">
        <v>104</v>
      </c>
      <c r="AE67" s="68"/>
    </row>
    <row r="68" spans="1:31" ht="24">
      <c r="A68" s="82" t="s">
        <v>106</v>
      </c>
      <c r="B68" s="82">
        <v>383</v>
      </c>
      <c r="C68" s="52" t="s">
        <v>156</v>
      </c>
      <c r="D68" s="52" t="s">
        <v>378</v>
      </c>
      <c r="E68" s="53"/>
      <c r="F68" s="94">
        <v>60</v>
      </c>
      <c r="G68" s="94">
        <v>60</v>
      </c>
      <c r="H68" s="94">
        <v>60</v>
      </c>
      <c r="I68" s="94">
        <v>60</v>
      </c>
      <c r="J68" s="94">
        <v>60</v>
      </c>
      <c r="K68" s="51">
        <v>1</v>
      </c>
      <c r="L68" s="51">
        <v>150</v>
      </c>
      <c r="M68" s="46" t="s">
        <v>200</v>
      </c>
      <c r="N68" s="52" t="s">
        <v>225</v>
      </c>
      <c r="O68" s="36" t="s">
        <v>205</v>
      </c>
      <c r="P68" s="36" t="s">
        <v>204</v>
      </c>
      <c r="Q68" s="36" t="s">
        <v>205</v>
      </c>
      <c r="R68" s="36" t="s">
        <v>205</v>
      </c>
      <c r="S68" s="56" t="s">
        <v>204</v>
      </c>
      <c r="T68" s="36" t="s">
        <v>204</v>
      </c>
      <c r="U68" s="52"/>
      <c r="V68" s="36" t="s">
        <v>246</v>
      </c>
      <c r="W68" s="52" t="s">
        <v>534</v>
      </c>
      <c r="X68" s="102" t="s">
        <v>725</v>
      </c>
      <c r="Y68" s="56"/>
      <c r="Z68" s="69">
        <v>95</v>
      </c>
      <c r="AA68" s="68"/>
      <c r="AB68" s="69"/>
      <c r="AC68" s="68"/>
      <c r="AD68" s="69">
        <v>105</v>
      </c>
      <c r="AE68" s="68"/>
    </row>
    <row r="69" spans="1:31" ht="48">
      <c r="A69" s="82" t="s">
        <v>106</v>
      </c>
      <c r="B69" s="82">
        <v>384</v>
      </c>
      <c r="C69" s="52" t="s">
        <v>157</v>
      </c>
      <c r="D69" s="52" t="s">
        <v>379</v>
      </c>
      <c r="E69" s="53"/>
      <c r="F69" s="74">
        <v>0</v>
      </c>
      <c r="G69" s="51">
        <v>0</v>
      </c>
      <c r="H69" s="51">
        <v>0</v>
      </c>
      <c r="I69" s="51">
        <v>0</v>
      </c>
      <c r="J69" s="51">
        <v>0</v>
      </c>
      <c r="K69" s="51">
        <v>0</v>
      </c>
      <c r="L69" s="51">
        <v>1</v>
      </c>
      <c r="M69" s="46" t="s">
        <v>200</v>
      </c>
      <c r="N69" s="52" t="s">
        <v>226</v>
      </c>
      <c r="O69" s="36" t="s">
        <v>204</v>
      </c>
      <c r="P69" s="36" t="s">
        <v>205</v>
      </c>
      <c r="Q69" s="36" t="s">
        <v>204</v>
      </c>
      <c r="R69" s="36" t="s">
        <v>205</v>
      </c>
      <c r="S69" s="56" t="s">
        <v>204</v>
      </c>
      <c r="T69" s="36" t="s">
        <v>204</v>
      </c>
      <c r="U69" s="52" t="s">
        <v>245</v>
      </c>
      <c r="V69" s="47" t="s">
        <v>246</v>
      </c>
      <c r="W69" s="52" t="s">
        <v>535</v>
      </c>
      <c r="X69" s="47" t="s">
        <v>681</v>
      </c>
      <c r="Y69" s="56"/>
      <c r="Z69" s="69">
        <v>108</v>
      </c>
      <c r="AA69" s="68"/>
      <c r="AB69" s="69"/>
      <c r="AC69" s="68"/>
      <c r="AD69" s="69">
        <v>106</v>
      </c>
      <c r="AE69" s="68"/>
    </row>
    <row r="70" spans="1:31" ht="60">
      <c r="A70" s="82" t="s">
        <v>106</v>
      </c>
      <c r="B70" s="82">
        <v>400</v>
      </c>
      <c r="C70" s="52" t="s">
        <v>316</v>
      </c>
      <c r="D70" s="52" t="s">
        <v>158</v>
      </c>
      <c r="E70" s="53"/>
      <c r="F70" s="74">
        <v>50</v>
      </c>
      <c r="G70" s="75">
        <v>50</v>
      </c>
      <c r="H70" s="75">
        <v>50</v>
      </c>
      <c r="I70" s="75">
        <v>50</v>
      </c>
      <c r="J70" s="75">
        <v>50</v>
      </c>
      <c r="K70" s="51">
        <v>25</v>
      </c>
      <c r="L70" s="51">
        <v>75</v>
      </c>
      <c r="M70" s="46" t="s">
        <v>200</v>
      </c>
      <c r="N70" s="52" t="s">
        <v>317</v>
      </c>
      <c r="O70" s="36" t="s">
        <v>205</v>
      </c>
      <c r="P70" s="36" t="s">
        <v>205</v>
      </c>
      <c r="Q70" s="36" t="s">
        <v>205</v>
      </c>
      <c r="R70" s="36" t="s">
        <v>205</v>
      </c>
      <c r="S70" s="56" t="s">
        <v>204</v>
      </c>
      <c r="T70" s="36" t="s">
        <v>204</v>
      </c>
      <c r="U70" s="52"/>
      <c r="V70" s="36" t="s">
        <v>248</v>
      </c>
      <c r="W70" s="52" t="s">
        <v>536</v>
      </c>
      <c r="X70" s="47" t="s">
        <v>681</v>
      </c>
      <c r="Y70" s="56"/>
      <c r="Z70" s="69">
        <v>109</v>
      </c>
      <c r="AA70" s="68"/>
      <c r="AB70" s="69"/>
      <c r="AC70" s="68"/>
      <c r="AD70" s="69">
        <v>107</v>
      </c>
      <c r="AE70" s="68"/>
    </row>
    <row r="71" spans="1:31" ht="60">
      <c r="A71" s="84" t="s">
        <v>106</v>
      </c>
      <c r="B71" s="82">
        <v>401</v>
      </c>
      <c r="C71" s="52" t="s">
        <v>318</v>
      </c>
      <c r="D71" s="52" t="s">
        <v>159</v>
      </c>
      <c r="E71" s="53"/>
      <c r="F71" s="74">
        <v>0</v>
      </c>
      <c r="G71" s="75">
        <v>0</v>
      </c>
      <c r="H71" s="75">
        <v>0</v>
      </c>
      <c r="I71" s="75">
        <v>0</v>
      </c>
      <c r="J71" s="75">
        <v>0</v>
      </c>
      <c r="K71" s="51">
        <v>0</v>
      </c>
      <c r="L71" s="51">
        <v>255</v>
      </c>
      <c r="M71" s="46" t="s">
        <v>200</v>
      </c>
      <c r="N71" s="52" t="s">
        <v>319</v>
      </c>
      <c r="O71" s="36" t="s">
        <v>204</v>
      </c>
      <c r="P71" s="36" t="s">
        <v>205</v>
      </c>
      <c r="Q71" s="36" t="s">
        <v>204</v>
      </c>
      <c r="R71" s="36" t="s">
        <v>205</v>
      </c>
      <c r="S71" s="36" t="s">
        <v>204</v>
      </c>
      <c r="T71" s="36" t="s">
        <v>204</v>
      </c>
      <c r="U71" s="52"/>
      <c r="V71" s="36" t="s">
        <v>248</v>
      </c>
      <c r="W71" s="52" t="s">
        <v>537</v>
      </c>
      <c r="X71" s="47" t="s">
        <v>681</v>
      </c>
      <c r="Y71" s="56"/>
      <c r="Z71" s="69">
        <v>110</v>
      </c>
      <c r="AA71" s="68"/>
      <c r="AB71" s="69"/>
      <c r="AC71" s="68"/>
      <c r="AD71" s="69">
        <v>108</v>
      </c>
      <c r="AE71" s="68"/>
    </row>
    <row r="72" spans="1:31" ht="72">
      <c r="A72" s="82" t="s">
        <v>106</v>
      </c>
      <c r="B72" s="82">
        <v>402</v>
      </c>
      <c r="C72" s="52" t="s">
        <v>320</v>
      </c>
      <c r="D72" s="52" t="s">
        <v>160</v>
      </c>
      <c r="E72" s="53"/>
      <c r="F72" s="74">
        <v>20</v>
      </c>
      <c r="G72" s="74">
        <v>20</v>
      </c>
      <c r="H72" s="74">
        <v>20</v>
      </c>
      <c r="I72" s="74">
        <v>20</v>
      </c>
      <c r="J72" s="74">
        <v>20</v>
      </c>
      <c r="K72" s="51">
        <v>10</v>
      </c>
      <c r="L72" s="51">
        <v>50</v>
      </c>
      <c r="M72" s="46" t="s">
        <v>200</v>
      </c>
      <c r="N72" s="52" t="s">
        <v>321</v>
      </c>
      <c r="O72" s="36" t="s">
        <v>205</v>
      </c>
      <c r="P72" s="36" t="s">
        <v>205</v>
      </c>
      <c r="Q72" s="36" t="s">
        <v>205</v>
      </c>
      <c r="R72" s="36" t="s">
        <v>205</v>
      </c>
      <c r="S72" s="36" t="s">
        <v>204</v>
      </c>
      <c r="T72" s="36" t="s">
        <v>204</v>
      </c>
      <c r="U72" s="52"/>
      <c r="V72" s="36" t="s">
        <v>248</v>
      </c>
      <c r="W72" s="52" t="s">
        <v>538</v>
      </c>
      <c r="X72" s="47" t="s">
        <v>681</v>
      </c>
      <c r="Y72" s="56"/>
      <c r="Z72" s="69">
        <v>111</v>
      </c>
      <c r="AA72" s="68"/>
      <c r="AB72" s="69"/>
      <c r="AC72" s="68"/>
      <c r="AD72" s="69">
        <v>109</v>
      </c>
      <c r="AE72" s="68"/>
    </row>
    <row r="73" spans="1:31" ht="72">
      <c r="A73" s="82" t="s">
        <v>106</v>
      </c>
      <c r="B73" s="82">
        <v>403</v>
      </c>
      <c r="C73" s="52" t="s">
        <v>322</v>
      </c>
      <c r="D73" s="52" t="s">
        <v>161</v>
      </c>
      <c r="E73" s="53"/>
      <c r="F73" s="74">
        <v>10</v>
      </c>
      <c r="G73" s="74">
        <v>10</v>
      </c>
      <c r="H73" s="74">
        <v>10</v>
      </c>
      <c r="I73" s="74">
        <v>10</v>
      </c>
      <c r="J73" s="74">
        <v>10</v>
      </c>
      <c r="K73" s="51">
        <v>5</v>
      </c>
      <c r="L73" s="51">
        <v>50</v>
      </c>
      <c r="M73" s="46" t="s">
        <v>200</v>
      </c>
      <c r="N73" s="52" t="s">
        <v>323</v>
      </c>
      <c r="O73" s="36" t="s">
        <v>205</v>
      </c>
      <c r="P73" s="36" t="s">
        <v>205</v>
      </c>
      <c r="Q73" s="36" t="s">
        <v>205</v>
      </c>
      <c r="R73" s="36" t="s">
        <v>205</v>
      </c>
      <c r="S73" s="36" t="s">
        <v>204</v>
      </c>
      <c r="T73" s="36" t="s">
        <v>204</v>
      </c>
      <c r="U73" s="52"/>
      <c r="V73" s="36" t="s">
        <v>248</v>
      </c>
      <c r="W73" s="52" t="s">
        <v>539</v>
      </c>
      <c r="X73" s="47" t="s">
        <v>681</v>
      </c>
      <c r="Y73" s="56"/>
      <c r="Z73" s="69">
        <v>112</v>
      </c>
      <c r="AA73" s="68"/>
      <c r="AB73" s="69"/>
      <c r="AC73" s="68"/>
      <c r="AD73" s="69">
        <v>110</v>
      </c>
      <c r="AE73" s="68"/>
    </row>
    <row r="74" spans="1:31" ht="72">
      <c r="A74" s="82" t="s">
        <v>106</v>
      </c>
      <c r="B74" s="82">
        <v>404</v>
      </c>
      <c r="C74" s="52" t="s">
        <v>324</v>
      </c>
      <c r="D74" s="52" t="s">
        <v>380</v>
      </c>
      <c r="E74" s="53"/>
      <c r="F74" s="74">
        <v>320</v>
      </c>
      <c r="G74" s="74">
        <v>320</v>
      </c>
      <c r="H74" s="74">
        <v>320</v>
      </c>
      <c r="I74" s="74">
        <v>320</v>
      </c>
      <c r="J74" s="74">
        <v>320</v>
      </c>
      <c r="K74" s="51">
        <v>250</v>
      </c>
      <c r="L74" s="51">
        <v>500</v>
      </c>
      <c r="M74" s="46" t="s">
        <v>201</v>
      </c>
      <c r="N74" s="52" t="s">
        <v>325</v>
      </c>
      <c r="O74" s="36" t="s">
        <v>205</v>
      </c>
      <c r="P74" s="36" t="s">
        <v>205</v>
      </c>
      <c r="Q74" s="36" t="s">
        <v>205</v>
      </c>
      <c r="R74" s="36" t="s">
        <v>205</v>
      </c>
      <c r="S74" s="56" t="s">
        <v>204</v>
      </c>
      <c r="T74" s="36" t="s">
        <v>204</v>
      </c>
      <c r="U74" s="52"/>
      <c r="V74" s="36" t="s">
        <v>248</v>
      </c>
      <c r="W74" s="52" t="s">
        <v>540</v>
      </c>
      <c r="X74" s="47" t="s">
        <v>681</v>
      </c>
      <c r="Y74" s="56"/>
      <c r="Z74" s="69">
        <v>106</v>
      </c>
      <c r="AA74" s="68"/>
      <c r="AB74" s="69"/>
      <c r="AC74" s="68"/>
      <c r="AD74" s="69">
        <v>111</v>
      </c>
      <c r="AE74" s="68"/>
    </row>
    <row r="75" spans="1:31" ht="72">
      <c r="A75" s="82" t="s">
        <v>106</v>
      </c>
      <c r="B75" s="82">
        <v>405</v>
      </c>
      <c r="C75" s="52" t="s">
        <v>326</v>
      </c>
      <c r="D75" s="52" t="s">
        <v>381</v>
      </c>
      <c r="E75" s="53"/>
      <c r="F75" s="74">
        <v>320</v>
      </c>
      <c r="G75" s="74">
        <v>320</v>
      </c>
      <c r="H75" s="74">
        <v>320</v>
      </c>
      <c r="I75" s="74">
        <v>320</v>
      </c>
      <c r="J75" s="74">
        <v>320</v>
      </c>
      <c r="K75" s="51">
        <v>250</v>
      </c>
      <c r="L75" s="51">
        <v>500</v>
      </c>
      <c r="M75" s="46" t="s">
        <v>201</v>
      </c>
      <c r="N75" s="52" t="s">
        <v>327</v>
      </c>
      <c r="O75" s="36" t="s">
        <v>205</v>
      </c>
      <c r="P75" s="36" t="s">
        <v>205</v>
      </c>
      <c r="Q75" s="36" t="s">
        <v>205</v>
      </c>
      <c r="R75" s="36" t="s">
        <v>205</v>
      </c>
      <c r="S75" s="56" t="s">
        <v>204</v>
      </c>
      <c r="T75" s="36" t="s">
        <v>204</v>
      </c>
      <c r="U75" s="52"/>
      <c r="V75" s="36" t="s">
        <v>248</v>
      </c>
      <c r="W75" s="52" t="s">
        <v>541</v>
      </c>
      <c r="X75" s="47" t="s">
        <v>681</v>
      </c>
      <c r="Y75" s="56"/>
      <c r="Z75" s="69">
        <v>116</v>
      </c>
      <c r="AA75" s="68"/>
      <c r="AB75" s="69"/>
      <c r="AC75" s="68"/>
      <c r="AD75" s="69">
        <v>113</v>
      </c>
      <c r="AE75" s="68"/>
    </row>
    <row r="76" spans="1:31" ht="72">
      <c r="A76" s="82" t="s">
        <v>106</v>
      </c>
      <c r="B76" s="82">
        <v>406</v>
      </c>
      <c r="C76" s="52" t="s">
        <v>328</v>
      </c>
      <c r="D76" s="52" t="s">
        <v>382</v>
      </c>
      <c r="E76" s="53"/>
      <c r="F76" s="74">
        <v>500</v>
      </c>
      <c r="G76" s="74">
        <v>500</v>
      </c>
      <c r="H76" s="74">
        <v>500</v>
      </c>
      <c r="I76" s="74">
        <v>500</v>
      </c>
      <c r="J76" s="74">
        <v>500</v>
      </c>
      <c r="K76" s="51">
        <v>250</v>
      </c>
      <c r="L76" s="51">
        <v>1000</v>
      </c>
      <c r="M76" s="46" t="s">
        <v>201</v>
      </c>
      <c r="N76" s="52" t="s">
        <v>329</v>
      </c>
      <c r="O76" s="36" t="s">
        <v>205</v>
      </c>
      <c r="P76" s="36" t="s">
        <v>205</v>
      </c>
      <c r="Q76" s="36" t="s">
        <v>205</v>
      </c>
      <c r="R76" s="36" t="s">
        <v>205</v>
      </c>
      <c r="S76" s="56" t="s">
        <v>204</v>
      </c>
      <c r="T76" s="36" t="s">
        <v>204</v>
      </c>
      <c r="U76" s="52"/>
      <c r="V76" s="36" t="s">
        <v>248</v>
      </c>
      <c r="W76" s="52" t="s">
        <v>542</v>
      </c>
      <c r="X76" s="47" t="s">
        <v>681</v>
      </c>
      <c r="Y76" s="56"/>
      <c r="Z76" s="69">
        <v>118</v>
      </c>
      <c r="AA76" s="68"/>
      <c r="AB76" s="69"/>
      <c r="AC76" s="68"/>
      <c r="AD76" s="69">
        <v>115</v>
      </c>
      <c r="AE76" s="68"/>
    </row>
    <row r="77" spans="1:31" ht="72">
      <c r="A77" s="82" t="s">
        <v>106</v>
      </c>
      <c r="B77" s="82">
        <v>407</v>
      </c>
      <c r="C77" s="52" t="s">
        <v>330</v>
      </c>
      <c r="D77" s="52" t="s">
        <v>383</v>
      </c>
      <c r="E77" s="53"/>
      <c r="F77" s="74">
        <v>500</v>
      </c>
      <c r="G77" s="74">
        <v>500</v>
      </c>
      <c r="H77" s="74">
        <v>500</v>
      </c>
      <c r="I77" s="74">
        <v>500</v>
      </c>
      <c r="J77" s="74">
        <v>500</v>
      </c>
      <c r="K77" s="51">
        <v>250</v>
      </c>
      <c r="L77" s="51">
        <v>1000</v>
      </c>
      <c r="M77" s="46" t="s">
        <v>201</v>
      </c>
      <c r="N77" s="52" t="s">
        <v>331</v>
      </c>
      <c r="O77" s="36" t="s">
        <v>205</v>
      </c>
      <c r="P77" s="36" t="s">
        <v>205</v>
      </c>
      <c r="Q77" s="36" t="s">
        <v>205</v>
      </c>
      <c r="R77" s="36" t="s">
        <v>205</v>
      </c>
      <c r="S77" s="56" t="s">
        <v>204</v>
      </c>
      <c r="T77" s="36" t="s">
        <v>204</v>
      </c>
      <c r="U77" s="52"/>
      <c r="V77" s="36" t="s">
        <v>248</v>
      </c>
      <c r="W77" s="52" t="s">
        <v>543</v>
      </c>
      <c r="X77" s="47" t="s">
        <v>681</v>
      </c>
      <c r="Y77" s="56"/>
      <c r="Z77" s="69">
        <v>120</v>
      </c>
      <c r="AA77" s="68"/>
      <c r="AB77" s="69"/>
      <c r="AC77" s="68"/>
      <c r="AD77" s="69">
        <v>117</v>
      </c>
      <c r="AE77" s="68"/>
    </row>
    <row r="78" spans="1:31" ht="72">
      <c r="A78" s="82" t="s">
        <v>106</v>
      </c>
      <c r="B78" s="82">
        <v>408</v>
      </c>
      <c r="C78" s="52" t="s">
        <v>332</v>
      </c>
      <c r="D78" s="52" t="s">
        <v>384</v>
      </c>
      <c r="E78" s="53"/>
      <c r="F78" s="74">
        <v>500</v>
      </c>
      <c r="G78" s="74">
        <v>500</v>
      </c>
      <c r="H78" s="74">
        <v>500</v>
      </c>
      <c r="I78" s="74">
        <v>500</v>
      </c>
      <c r="J78" s="74">
        <v>500</v>
      </c>
      <c r="K78" s="51">
        <v>250</v>
      </c>
      <c r="L78" s="51">
        <v>1000</v>
      </c>
      <c r="M78" s="46" t="s">
        <v>201</v>
      </c>
      <c r="N78" s="52" t="s">
        <v>333</v>
      </c>
      <c r="O78" s="36" t="s">
        <v>205</v>
      </c>
      <c r="P78" s="36" t="s">
        <v>205</v>
      </c>
      <c r="Q78" s="36" t="s">
        <v>205</v>
      </c>
      <c r="R78" s="36" t="s">
        <v>205</v>
      </c>
      <c r="S78" s="56" t="s">
        <v>204</v>
      </c>
      <c r="T78" s="36" t="s">
        <v>204</v>
      </c>
      <c r="U78" s="52"/>
      <c r="V78" s="36" t="s">
        <v>248</v>
      </c>
      <c r="W78" s="52" t="s">
        <v>544</v>
      </c>
      <c r="X78" s="47" t="s">
        <v>681</v>
      </c>
      <c r="Y78" s="56"/>
      <c r="Z78" s="69">
        <v>122</v>
      </c>
      <c r="AA78" s="68"/>
      <c r="AB78" s="69"/>
      <c r="AC78" s="68"/>
      <c r="AD78" s="69">
        <v>119</v>
      </c>
      <c r="AE78" s="68"/>
    </row>
    <row r="79" spans="1:31" ht="72">
      <c r="A79" s="82" t="s">
        <v>106</v>
      </c>
      <c r="B79" s="82">
        <v>409</v>
      </c>
      <c r="C79" s="52" t="s">
        <v>334</v>
      </c>
      <c r="D79" s="52" t="s">
        <v>385</v>
      </c>
      <c r="E79" s="53"/>
      <c r="F79" s="74">
        <v>500</v>
      </c>
      <c r="G79" s="74">
        <v>500</v>
      </c>
      <c r="H79" s="74">
        <v>500</v>
      </c>
      <c r="I79" s="74">
        <v>500</v>
      </c>
      <c r="J79" s="74">
        <v>500</v>
      </c>
      <c r="K79" s="51">
        <v>250</v>
      </c>
      <c r="L79" s="51">
        <v>1000</v>
      </c>
      <c r="M79" s="46" t="s">
        <v>201</v>
      </c>
      <c r="N79" s="52" t="s">
        <v>335</v>
      </c>
      <c r="O79" s="36" t="s">
        <v>205</v>
      </c>
      <c r="P79" s="36" t="s">
        <v>205</v>
      </c>
      <c r="Q79" s="36" t="s">
        <v>205</v>
      </c>
      <c r="R79" s="36" t="s">
        <v>205</v>
      </c>
      <c r="S79" s="56" t="s">
        <v>204</v>
      </c>
      <c r="T79" s="36" t="s">
        <v>204</v>
      </c>
      <c r="U79" s="52"/>
      <c r="V79" s="36" t="s">
        <v>248</v>
      </c>
      <c r="W79" s="52" t="s">
        <v>545</v>
      </c>
      <c r="X79" s="47" t="s">
        <v>681</v>
      </c>
      <c r="Y79" s="56"/>
      <c r="Z79" s="69">
        <v>124</v>
      </c>
      <c r="AA79" s="68"/>
      <c r="AB79" s="69"/>
      <c r="AC79" s="68"/>
      <c r="AD79" s="69">
        <v>121</v>
      </c>
      <c r="AE79" s="68"/>
    </row>
    <row r="80" spans="1:31" ht="72">
      <c r="A80" s="82" t="s">
        <v>106</v>
      </c>
      <c r="B80" s="82">
        <v>410</v>
      </c>
      <c r="C80" s="52" t="s">
        <v>336</v>
      </c>
      <c r="D80" s="52" t="s">
        <v>546</v>
      </c>
      <c r="E80" s="53"/>
      <c r="F80" s="74">
        <v>320</v>
      </c>
      <c r="G80" s="74">
        <v>320</v>
      </c>
      <c r="H80" s="74">
        <v>320</v>
      </c>
      <c r="I80" s="74">
        <v>320</v>
      </c>
      <c r="J80" s="74">
        <v>320</v>
      </c>
      <c r="K80" s="51">
        <v>250</v>
      </c>
      <c r="L80" s="51">
        <v>1000</v>
      </c>
      <c r="M80" s="46" t="s">
        <v>201</v>
      </c>
      <c r="N80" s="52" t="s">
        <v>337</v>
      </c>
      <c r="O80" s="36" t="s">
        <v>205</v>
      </c>
      <c r="P80" s="36" t="s">
        <v>205</v>
      </c>
      <c r="Q80" s="36" t="s">
        <v>205</v>
      </c>
      <c r="R80" s="36" t="s">
        <v>205</v>
      </c>
      <c r="S80" s="56" t="s">
        <v>204</v>
      </c>
      <c r="T80" s="36" t="s">
        <v>204</v>
      </c>
      <c r="U80" s="52"/>
      <c r="V80" s="36" t="s">
        <v>248</v>
      </c>
      <c r="W80" s="52" t="s">
        <v>547</v>
      </c>
      <c r="X80" s="47" t="s">
        <v>681</v>
      </c>
      <c r="Y80" s="56"/>
      <c r="Z80" s="69">
        <v>126</v>
      </c>
      <c r="AA80" s="68"/>
      <c r="AB80" s="69"/>
      <c r="AC80" s="68"/>
      <c r="AD80" s="69">
        <v>123</v>
      </c>
      <c r="AE80" s="68"/>
    </row>
    <row r="81" spans="1:31" ht="72">
      <c r="A81" s="82" t="s">
        <v>106</v>
      </c>
      <c r="B81" s="82">
        <v>411</v>
      </c>
      <c r="C81" s="52" t="s">
        <v>338</v>
      </c>
      <c r="D81" s="52" t="s">
        <v>386</v>
      </c>
      <c r="E81" s="53"/>
      <c r="F81" s="74">
        <v>320</v>
      </c>
      <c r="G81" s="74">
        <v>320</v>
      </c>
      <c r="H81" s="74">
        <v>320</v>
      </c>
      <c r="I81" s="74">
        <v>320</v>
      </c>
      <c r="J81" s="74">
        <v>320</v>
      </c>
      <c r="K81" s="51">
        <v>250</v>
      </c>
      <c r="L81" s="51">
        <v>1000</v>
      </c>
      <c r="M81" s="46" t="s">
        <v>201</v>
      </c>
      <c r="N81" s="52" t="s">
        <v>339</v>
      </c>
      <c r="O81" s="36" t="s">
        <v>205</v>
      </c>
      <c r="P81" s="36" t="s">
        <v>205</v>
      </c>
      <c r="Q81" s="36" t="s">
        <v>205</v>
      </c>
      <c r="R81" s="36" t="s">
        <v>205</v>
      </c>
      <c r="S81" s="56" t="s">
        <v>204</v>
      </c>
      <c r="T81" s="36" t="s">
        <v>204</v>
      </c>
      <c r="U81" s="52"/>
      <c r="V81" s="36" t="s">
        <v>248</v>
      </c>
      <c r="W81" s="52" t="s">
        <v>548</v>
      </c>
      <c r="X81" s="47" t="s">
        <v>681</v>
      </c>
      <c r="Y81" s="56"/>
      <c r="Z81" s="69">
        <v>128</v>
      </c>
      <c r="AA81" s="68"/>
      <c r="AB81" s="69"/>
      <c r="AC81" s="68"/>
      <c r="AD81" s="69">
        <v>125</v>
      </c>
      <c r="AE81" s="68"/>
    </row>
    <row r="82" spans="1:31" ht="84">
      <c r="A82" s="82" t="s">
        <v>106</v>
      </c>
      <c r="B82" s="82">
        <v>412</v>
      </c>
      <c r="C82" s="52" t="s">
        <v>340</v>
      </c>
      <c r="D82" s="52" t="s">
        <v>387</v>
      </c>
      <c r="E82" s="53"/>
      <c r="F82" s="74">
        <v>400</v>
      </c>
      <c r="G82" s="74">
        <v>400</v>
      </c>
      <c r="H82" s="74">
        <v>400</v>
      </c>
      <c r="I82" s="74">
        <v>400</v>
      </c>
      <c r="J82" s="74">
        <v>400</v>
      </c>
      <c r="K82" s="51">
        <v>250</v>
      </c>
      <c r="L82" s="51">
        <v>1000</v>
      </c>
      <c r="M82" s="46" t="s">
        <v>201</v>
      </c>
      <c r="N82" s="52" t="s">
        <v>341</v>
      </c>
      <c r="O82" s="36" t="s">
        <v>205</v>
      </c>
      <c r="P82" s="36" t="s">
        <v>205</v>
      </c>
      <c r="Q82" s="36" t="s">
        <v>205</v>
      </c>
      <c r="R82" s="36" t="s">
        <v>205</v>
      </c>
      <c r="S82" s="56" t="s">
        <v>204</v>
      </c>
      <c r="T82" s="36" t="s">
        <v>204</v>
      </c>
      <c r="U82" s="52"/>
      <c r="V82" s="36" t="s">
        <v>248</v>
      </c>
      <c r="W82" s="52" t="s">
        <v>549</v>
      </c>
      <c r="X82" s="47" t="s">
        <v>681</v>
      </c>
      <c r="Y82" s="56"/>
      <c r="Z82" s="69">
        <v>130</v>
      </c>
      <c r="AA82" s="68"/>
      <c r="AB82" s="69"/>
      <c r="AC82" s="68"/>
      <c r="AD82" s="69">
        <v>127</v>
      </c>
      <c r="AE82" s="68"/>
    </row>
    <row r="83" spans="1:31" ht="84">
      <c r="A83" s="82" t="s">
        <v>106</v>
      </c>
      <c r="B83" s="82">
        <v>413</v>
      </c>
      <c r="C83" s="52" t="s">
        <v>342</v>
      </c>
      <c r="D83" s="52" t="s">
        <v>388</v>
      </c>
      <c r="E83" s="53"/>
      <c r="F83" s="74">
        <v>400</v>
      </c>
      <c r="G83" s="74">
        <v>400</v>
      </c>
      <c r="H83" s="74">
        <v>400</v>
      </c>
      <c r="I83" s="74">
        <v>400</v>
      </c>
      <c r="J83" s="74">
        <v>400</v>
      </c>
      <c r="K83" s="51">
        <v>250</v>
      </c>
      <c r="L83" s="51">
        <v>1000</v>
      </c>
      <c r="M83" s="46" t="s">
        <v>201</v>
      </c>
      <c r="N83" s="52" t="s">
        <v>343</v>
      </c>
      <c r="O83" s="36" t="s">
        <v>205</v>
      </c>
      <c r="P83" s="36" t="s">
        <v>205</v>
      </c>
      <c r="Q83" s="36" t="s">
        <v>205</v>
      </c>
      <c r="R83" s="36" t="s">
        <v>205</v>
      </c>
      <c r="S83" s="56" t="s">
        <v>204</v>
      </c>
      <c r="T83" s="36" t="s">
        <v>204</v>
      </c>
      <c r="U83" s="52"/>
      <c r="V83" s="36" t="s">
        <v>248</v>
      </c>
      <c r="W83" s="52" t="s">
        <v>550</v>
      </c>
      <c r="X83" s="47" t="s">
        <v>681</v>
      </c>
      <c r="Y83" s="56"/>
      <c r="Z83" s="69">
        <v>132</v>
      </c>
      <c r="AA83" s="68"/>
      <c r="AB83" s="69"/>
      <c r="AC83" s="68"/>
      <c r="AD83" s="69">
        <v>129</v>
      </c>
      <c r="AE83" s="68"/>
    </row>
    <row r="84" spans="1:31" ht="72">
      <c r="A84" s="82" t="s">
        <v>106</v>
      </c>
      <c r="B84" s="82">
        <v>414</v>
      </c>
      <c r="C84" s="52" t="s">
        <v>344</v>
      </c>
      <c r="D84" s="52" t="s">
        <v>389</v>
      </c>
      <c r="E84" s="53"/>
      <c r="F84" s="74">
        <v>400</v>
      </c>
      <c r="G84" s="74">
        <v>400</v>
      </c>
      <c r="H84" s="74">
        <v>400</v>
      </c>
      <c r="I84" s="74">
        <v>400</v>
      </c>
      <c r="J84" s="74">
        <v>400</v>
      </c>
      <c r="K84" s="51">
        <v>250</v>
      </c>
      <c r="L84" s="51">
        <v>1000</v>
      </c>
      <c r="M84" s="46" t="s">
        <v>201</v>
      </c>
      <c r="N84" s="52" t="s">
        <v>345</v>
      </c>
      <c r="O84" s="36" t="s">
        <v>205</v>
      </c>
      <c r="P84" s="36" t="s">
        <v>205</v>
      </c>
      <c r="Q84" s="36" t="s">
        <v>205</v>
      </c>
      <c r="R84" s="36" t="s">
        <v>205</v>
      </c>
      <c r="S84" s="56" t="s">
        <v>204</v>
      </c>
      <c r="T84" s="36" t="s">
        <v>204</v>
      </c>
      <c r="U84" s="52"/>
      <c r="V84" s="36" t="s">
        <v>248</v>
      </c>
      <c r="W84" s="52" t="s">
        <v>551</v>
      </c>
      <c r="X84" s="47" t="s">
        <v>681</v>
      </c>
      <c r="Y84" s="56"/>
      <c r="Z84" s="69">
        <v>134</v>
      </c>
      <c r="AA84" s="68"/>
      <c r="AB84" s="69"/>
      <c r="AC84" s="68"/>
      <c r="AD84" s="69">
        <v>131</v>
      </c>
      <c r="AE84" s="68"/>
    </row>
    <row r="85" spans="1:31" ht="72">
      <c r="A85" s="82" t="s">
        <v>106</v>
      </c>
      <c r="B85" s="82">
        <v>415</v>
      </c>
      <c r="C85" s="52" t="s">
        <v>346</v>
      </c>
      <c r="D85" s="52" t="s">
        <v>390</v>
      </c>
      <c r="E85" s="53"/>
      <c r="F85" s="74">
        <v>400</v>
      </c>
      <c r="G85" s="74">
        <v>400</v>
      </c>
      <c r="H85" s="74">
        <v>400</v>
      </c>
      <c r="I85" s="74">
        <v>400</v>
      </c>
      <c r="J85" s="74">
        <v>400</v>
      </c>
      <c r="K85" s="51">
        <v>250</v>
      </c>
      <c r="L85" s="51">
        <v>1000</v>
      </c>
      <c r="M85" s="46" t="s">
        <v>201</v>
      </c>
      <c r="N85" s="52" t="s">
        <v>347</v>
      </c>
      <c r="O85" s="36" t="s">
        <v>205</v>
      </c>
      <c r="P85" s="36" t="s">
        <v>205</v>
      </c>
      <c r="Q85" s="36" t="s">
        <v>205</v>
      </c>
      <c r="R85" s="36" t="s">
        <v>205</v>
      </c>
      <c r="S85" s="56" t="s">
        <v>204</v>
      </c>
      <c r="T85" s="36" t="s">
        <v>204</v>
      </c>
      <c r="U85" s="52"/>
      <c r="V85" s="36" t="s">
        <v>248</v>
      </c>
      <c r="W85" s="52" t="s">
        <v>552</v>
      </c>
      <c r="X85" s="47" t="s">
        <v>681</v>
      </c>
      <c r="Y85" s="56"/>
      <c r="Z85" s="69">
        <v>136</v>
      </c>
      <c r="AA85" s="68"/>
      <c r="AB85" s="69"/>
      <c r="AC85" s="68"/>
      <c r="AD85" s="69">
        <v>133</v>
      </c>
      <c r="AE85" s="68"/>
    </row>
    <row r="86" spans="1:31" ht="72">
      <c r="A86" s="82" t="s">
        <v>106</v>
      </c>
      <c r="B86" s="82">
        <v>416</v>
      </c>
      <c r="C86" s="52" t="s">
        <v>348</v>
      </c>
      <c r="D86" s="52" t="s">
        <v>391</v>
      </c>
      <c r="E86" s="63">
        <v>0</v>
      </c>
      <c r="F86" s="78">
        <v>1</v>
      </c>
      <c r="G86" s="78">
        <v>1</v>
      </c>
      <c r="H86" s="78">
        <v>1</v>
      </c>
      <c r="I86" s="78">
        <v>1</v>
      </c>
      <c r="J86" s="78">
        <v>1</v>
      </c>
      <c r="K86" s="51">
        <v>1</v>
      </c>
      <c r="L86" s="78">
        <v>2</v>
      </c>
      <c r="M86" s="46" t="s">
        <v>200</v>
      </c>
      <c r="N86" s="52" t="s">
        <v>349</v>
      </c>
      <c r="O86" s="36" t="s">
        <v>205</v>
      </c>
      <c r="P86" s="36" t="s">
        <v>205</v>
      </c>
      <c r="Q86" s="36" t="s">
        <v>205</v>
      </c>
      <c r="R86" s="36" t="s">
        <v>205</v>
      </c>
      <c r="S86" s="56" t="s">
        <v>204</v>
      </c>
      <c r="T86" s="36" t="s">
        <v>204</v>
      </c>
      <c r="U86" s="52"/>
      <c r="V86" s="36" t="s">
        <v>249</v>
      </c>
      <c r="W86" s="52" t="s">
        <v>553</v>
      </c>
      <c r="X86" s="47" t="s">
        <v>681</v>
      </c>
      <c r="Y86" s="56"/>
      <c r="Z86" s="69">
        <v>113</v>
      </c>
      <c r="AA86" s="68"/>
      <c r="AB86" s="69"/>
      <c r="AC86" s="68"/>
      <c r="AD86" s="69">
        <v>135</v>
      </c>
      <c r="AE86" s="68"/>
    </row>
    <row r="87" spans="1:31" ht="72">
      <c r="A87" s="82" t="s">
        <v>106</v>
      </c>
      <c r="B87" s="82">
        <v>417</v>
      </c>
      <c r="C87" s="52" t="s">
        <v>350</v>
      </c>
      <c r="D87" s="52" t="s">
        <v>392</v>
      </c>
      <c r="E87" s="63">
        <v>0</v>
      </c>
      <c r="F87" s="78">
        <v>1</v>
      </c>
      <c r="G87" s="78">
        <v>1</v>
      </c>
      <c r="H87" s="78">
        <v>1</v>
      </c>
      <c r="I87" s="78">
        <v>1</v>
      </c>
      <c r="J87" s="78">
        <v>1</v>
      </c>
      <c r="K87" s="51">
        <v>1</v>
      </c>
      <c r="L87" s="78">
        <v>2</v>
      </c>
      <c r="M87" s="46" t="s">
        <v>200</v>
      </c>
      <c r="N87" s="52" t="s">
        <v>351</v>
      </c>
      <c r="O87" s="36" t="s">
        <v>205</v>
      </c>
      <c r="P87" s="36" t="s">
        <v>205</v>
      </c>
      <c r="Q87" s="36" t="s">
        <v>205</v>
      </c>
      <c r="R87" s="36" t="s">
        <v>205</v>
      </c>
      <c r="S87" s="56" t="s">
        <v>204</v>
      </c>
      <c r="T87" s="36" t="s">
        <v>204</v>
      </c>
      <c r="U87" s="52"/>
      <c r="V87" s="36" t="s">
        <v>249</v>
      </c>
      <c r="W87" s="52" t="s">
        <v>554</v>
      </c>
      <c r="X87" s="47" t="s">
        <v>681</v>
      </c>
      <c r="Y87" s="56"/>
      <c r="Z87" s="69">
        <v>114</v>
      </c>
      <c r="AA87" s="68"/>
      <c r="AB87" s="69"/>
      <c r="AC87" s="68"/>
      <c r="AD87" s="69">
        <v>136</v>
      </c>
      <c r="AE87" s="68"/>
    </row>
    <row r="88" spans="1:31" ht="24">
      <c r="A88" s="82" t="s">
        <v>106</v>
      </c>
      <c r="B88" s="82">
        <v>418</v>
      </c>
      <c r="C88" s="52" t="s">
        <v>352</v>
      </c>
      <c r="D88" s="52" t="s">
        <v>162</v>
      </c>
      <c r="E88" s="53"/>
      <c r="F88" s="74">
        <v>0</v>
      </c>
      <c r="G88" s="51">
        <v>0</v>
      </c>
      <c r="H88" s="51">
        <v>0</v>
      </c>
      <c r="I88" s="51">
        <v>0</v>
      </c>
      <c r="J88" s="51">
        <v>0</v>
      </c>
      <c r="K88" s="51">
        <v>0</v>
      </c>
      <c r="L88" s="51">
        <v>50</v>
      </c>
      <c r="M88" s="46" t="s">
        <v>200</v>
      </c>
      <c r="N88" s="52" t="s">
        <v>353</v>
      </c>
      <c r="O88" s="36" t="s">
        <v>205</v>
      </c>
      <c r="P88" s="36" t="s">
        <v>205</v>
      </c>
      <c r="Q88" s="36" t="s">
        <v>205</v>
      </c>
      <c r="R88" s="36" t="s">
        <v>205</v>
      </c>
      <c r="S88" s="36" t="s">
        <v>204</v>
      </c>
      <c r="T88" s="36" t="s">
        <v>204</v>
      </c>
      <c r="U88" s="52"/>
      <c r="V88" s="36" t="s">
        <v>249</v>
      </c>
      <c r="W88" s="52" t="s">
        <v>555</v>
      </c>
      <c r="X88" s="47" t="s">
        <v>681</v>
      </c>
      <c r="Y88" s="56"/>
      <c r="Z88" s="69">
        <v>115</v>
      </c>
      <c r="AA88" s="68"/>
      <c r="AB88" s="69"/>
      <c r="AC88" s="68"/>
      <c r="AD88" s="69">
        <v>137</v>
      </c>
      <c r="AE88" s="68"/>
    </row>
    <row r="89" spans="1:31" ht="24">
      <c r="A89" s="82" t="s">
        <v>106</v>
      </c>
      <c r="B89" s="82">
        <v>419</v>
      </c>
      <c r="C89" s="52" t="s">
        <v>163</v>
      </c>
      <c r="D89" s="52" t="s">
        <v>164</v>
      </c>
      <c r="E89" s="54">
        <v>0</v>
      </c>
      <c r="F89" s="51">
        <v>10</v>
      </c>
      <c r="G89" s="51">
        <v>10</v>
      </c>
      <c r="H89" s="51">
        <v>10</v>
      </c>
      <c r="I89" s="51">
        <v>10</v>
      </c>
      <c r="J89" s="51">
        <v>10</v>
      </c>
      <c r="K89" s="51">
        <v>-10</v>
      </c>
      <c r="L89" s="51">
        <v>30</v>
      </c>
      <c r="M89" s="46" t="s">
        <v>203</v>
      </c>
      <c r="N89" s="52" t="s">
        <v>353</v>
      </c>
      <c r="O89" s="36" t="s">
        <v>205</v>
      </c>
      <c r="P89" s="36" t="s">
        <v>205</v>
      </c>
      <c r="Q89" s="36" t="s">
        <v>205</v>
      </c>
      <c r="R89" s="36" t="s">
        <v>205</v>
      </c>
      <c r="S89" s="36" t="s">
        <v>204</v>
      </c>
      <c r="T89" s="36" t="s">
        <v>204</v>
      </c>
      <c r="U89" s="52"/>
      <c r="V89" s="36" t="s">
        <v>249</v>
      </c>
      <c r="W89" s="52" t="s">
        <v>556</v>
      </c>
      <c r="X89" s="47" t="s">
        <v>681</v>
      </c>
      <c r="Y89" s="56"/>
      <c r="Z89" s="69">
        <v>140</v>
      </c>
      <c r="AA89" s="68"/>
      <c r="AB89" s="69"/>
      <c r="AC89" s="68"/>
      <c r="AD89" s="69">
        <v>138</v>
      </c>
      <c r="AE89" s="68"/>
    </row>
    <row r="90" spans="1:31" ht="24">
      <c r="A90" s="82" t="s">
        <v>106</v>
      </c>
      <c r="B90" s="82">
        <v>420</v>
      </c>
      <c r="C90" s="52" t="s">
        <v>716</v>
      </c>
      <c r="D90" s="52" t="s">
        <v>165</v>
      </c>
      <c r="E90" s="53"/>
      <c r="F90" s="51">
        <v>-2</v>
      </c>
      <c r="G90" s="51">
        <v>-2</v>
      </c>
      <c r="H90" s="51">
        <v>-2</v>
      </c>
      <c r="I90" s="51">
        <v>-2</v>
      </c>
      <c r="J90" s="51">
        <v>-2</v>
      </c>
      <c r="K90" s="51">
        <v>-10</v>
      </c>
      <c r="L90" s="51">
        <v>15</v>
      </c>
      <c r="M90" s="46" t="s">
        <v>203</v>
      </c>
      <c r="N90" s="52" t="s">
        <v>354</v>
      </c>
      <c r="O90" s="36" t="s">
        <v>205</v>
      </c>
      <c r="P90" s="36" t="s">
        <v>205</v>
      </c>
      <c r="Q90" s="36" t="s">
        <v>205</v>
      </c>
      <c r="R90" s="36" t="s">
        <v>205</v>
      </c>
      <c r="S90" s="36" t="s">
        <v>204</v>
      </c>
      <c r="T90" s="36" t="s">
        <v>204</v>
      </c>
      <c r="U90" s="52"/>
      <c r="V90" s="36" t="s">
        <v>249</v>
      </c>
      <c r="W90" s="52" t="s">
        <v>557</v>
      </c>
      <c r="X90" s="47" t="s">
        <v>681</v>
      </c>
      <c r="Y90" s="56"/>
      <c r="Z90" s="69">
        <v>141</v>
      </c>
      <c r="AA90" s="68"/>
      <c r="AB90" s="69"/>
      <c r="AC90" s="68"/>
      <c r="AD90" s="69">
        <v>139</v>
      </c>
      <c r="AE90" s="68"/>
    </row>
    <row r="91" spans="1:31" ht="24">
      <c r="A91" s="82" t="s">
        <v>106</v>
      </c>
      <c r="B91" s="82">
        <v>421</v>
      </c>
      <c r="C91" s="52" t="s">
        <v>717</v>
      </c>
      <c r="D91" s="52" t="s">
        <v>355</v>
      </c>
      <c r="E91" s="53"/>
      <c r="F91" s="51">
        <v>-4</v>
      </c>
      <c r="G91" s="51">
        <v>-4</v>
      </c>
      <c r="H91" s="51">
        <v>-4</v>
      </c>
      <c r="I91" s="51">
        <v>-4</v>
      </c>
      <c r="J91" s="51">
        <v>-4</v>
      </c>
      <c r="K91" s="51">
        <v>-10</v>
      </c>
      <c r="L91" s="51">
        <v>15</v>
      </c>
      <c r="M91" s="46" t="s">
        <v>203</v>
      </c>
      <c r="N91" s="52" t="s">
        <v>356</v>
      </c>
      <c r="O91" s="36" t="s">
        <v>205</v>
      </c>
      <c r="P91" s="36" t="s">
        <v>205</v>
      </c>
      <c r="Q91" s="36" t="s">
        <v>205</v>
      </c>
      <c r="R91" s="36" t="s">
        <v>205</v>
      </c>
      <c r="S91" s="36" t="s">
        <v>204</v>
      </c>
      <c r="T91" s="36" t="s">
        <v>204</v>
      </c>
      <c r="U91" s="52"/>
      <c r="V91" s="36" t="s">
        <v>249</v>
      </c>
      <c r="W91" s="52" t="s">
        <v>558</v>
      </c>
      <c r="X91" s="47" t="s">
        <v>727</v>
      </c>
      <c r="Y91" s="56"/>
      <c r="Z91" s="69">
        <v>142</v>
      </c>
      <c r="AA91" s="68"/>
      <c r="AB91" s="69"/>
      <c r="AC91" s="68"/>
      <c r="AD91" s="69">
        <v>140</v>
      </c>
      <c r="AE91" s="68"/>
    </row>
    <row r="92" spans="1:31" ht="36">
      <c r="A92" s="82">
        <v>763</v>
      </c>
      <c r="B92" s="82">
        <v>422</v>
      </c>
      <c r="C92" s="52" t="s">
        <v>718</v>
      </c>
      <c r="D92" s="52" t="s">
        <v>166</v>
      </c>
      <c r="E92" s="63"/>
      <c r="F92" s="94">
        <v>3</v>
      </c>
      <c r="G92" s="93">
        <v>3</v>
      </c>
      <c r="H92" s="94">
        <v>3</v>
      </c>
      <c r="I92" s="93">
        <v>3</v>
      </c>
      <c r="J92" s="94">
        <v>3</v>
      </c>
      <c r="K92" s="51">
        <v>-10</v>
      </c>
      <c r="L92" s="51">
        <v>10</v>
      </c>
      <c r="M92" s="46" t="s">
        <v>203</v>
      </c>
      <c r="N92" s="52" t="s">
        <v>227</v>
      </c>
      <c r="O92" s="36" t="s">
        <v>205</v>
      </c>
      <c r="P92" s="36" t="s">
        <v>205</v>
      </c>
      <c r="Q92" s="36" t="s">
        <v>205</v>
      </c>
      <c r="R92" s="36" t="s">
        <v>205</v>
      </c>
      <c r="S92" s="36" t="s">
        <v>204</v>
      </c>
      <c r="T92" s="36" t="s">
        <v>204</v>
      </c>
      <c r="U92" s="52"/>
      <c r="V92" s="36" t="s">
        <v>249</v>
      </c>
      <c r="W92" s="52" t="s">
        <v>559</v>
      </c>
      <c r="X92" s="102" t="s">
        <v>725</v>
      </c>
      <c r="Y92" s="56"/>
      <c r="Z92" s="69">
        <v>143</v>
      </c>
      <c r="AA92" s="68"/>
      <c r="AB92" s="69"/>
      <c r="AC92" s="68"/>
      <c r="AD92" s="69">
        <v>141</v>
      </c>
      <c r="AE92" s="68"/>
    </row>
    <row r="93" spans="1:31" ht="36">
      <c r="A93" s="82">
        <v>763</v>
      </c>
      <c r="B93" s="82">
        <v>423</v>
      </c>
      <c r="C93" s="52" t="s">
        <v>167</v>
      </c>
      <c r="D93" s="52" t="s">
        <v>168</v>
      </c>
      <c r="E93" s="63"/>
      <c r="F93" s="74">
        <v>41</v>
      </c>
      <c r="G93" s="51">
        <v>41</v>
      </c>
      <c r="H93" s="51">
        <v>41</v>
      </c>
      <c r="I93" s="51">
        <v>41</v>
      </c>
      <c r="J93" s="51">
        <v>41</v>
      </c>
      <c r="K93" s="51">
        <v>0</v>
      </c>
      <c r="L93" s="51">
        <v>75</v>
      </c>
      <c r="M93" s="46" t="s">
        <v>200</v>
      </c>
      <c r="N93" s="52" t="s">
        <v>228</v>
      </c>
      <c r="O93" s="36" t="s">
        <v>205</v>
      </c>
      <c r="P93" s="36" t="s">
        <v>205</v>
      </c>
      <c r="Q93" s="36" t="s">
        <v>205</v>
      </c>
      <c r="R93" s="36" t="s">
        <v>205</v>
      </c>
      <c r="S93" s="36" t="s">
        <v>204</v>
      </c>
      <c r="T93" s="36" t="s">
        <v>204</v>
      </c>
      <c r="U93" s="52"/>
      <c r="V93" s="36" t="s">
        <v>249</v>
      </c>
      <c r="W93" s="52" t="s">
        <v>560</v>
      </c>
      <c r="X93" s="47" t="s">
        <v>681</v>
      </c>
      <c r="Y93" s="56"/>
      <c r="Z93" s="69">
        <v>144</v>
      </c>
      <c r="AA93" s="68"/>
      <c r="AB93" s="69"/>
      <c r="AC93" s="68"/>
      <c r="AD93" s="69">
        <v>142</v>
      </c>
      <c r="AE93" s="68"/>
    </row>
    <row r="94" spans="1:31" ht="24">
      <c r="A94" s="82" t="s">
        <v>106</v>
      </c>
      <c r="B94" s="82">
        <v>424</v>
      </c>
      <c r="C94" s="52" t="s">
        <v>357</v>
      </c>
      <c r="D94" s="52" t="s">
        <v>561</v>
      </c>
      <c r="E94" s="53"/>
      <c r="F94" s="74">
        <v>0</v>
      </c>
      <c r="G94" s="75">
        <v>0</v>
      </c>
      <c r="H94" s="75">
        <v>0</v>
      </c>
      <c r="I94" s="75">
        <v>0</v>
      </c>
      <c r="J94" s="75">
        <v>0</v>
      </c>
      <c r="K94" s="51">
        <v>0</v>
      </c>
      <c r="L94" s="51">
        <v>65533000</v>
      </c>
      <c r="M94" s="46" t="s">
        <v>202</v>
      </c>
      <c r="N94" s="52" t="s">
        <v>241</v>
      </c>
      <c r="O94" s="36" t="s">
        <v>205</v>
      </c>
      <c r="P94" s="36" t="s">
        <v>204</v>
      </c>
      <c r="Q94" s="36" t="s">
        <v>205</v>
      </c>
      <c r="R94" s="36" t="s">
        <v>205</v>
      </c>
      <c r="S94" s="36" t="s">
        <v>204</v>
      </c>
      <c r="T94" s="36" t="s">
        <v>204</v>
      </c>
      <c r="U94" s="52"/>
      <c r="V94" s="47" t="s">
        <v>250</v>
      </c>
      <c r="W94" s="52" t="s">
        <v>562</v>
      </c>
      <c r="X94" s="47" t="s">
        <v>681</v>
      </c>
      <c r="Y94" s="56"/>
      <c r="Z94" s="69">
        <v>148</v>
      </c>
      <c r="AA94" s="68"/>
      <c r="AB94" s="69"/>
      <c r="AC94" s="68"/>
      <c r="AD94" s="69">
        <v>143</v>
      </c>
      <c r="AE94" s="68"/>
    </row>
    <row r="95" spans="1:31" ht="24">
      <c r="A95" s="82" t="s">
        <v>106</v>
      </c>
      <c r="B95" s="82">
        <v>425</v>
      </c>
      <c r="C95" s="52" t="s">
        <v>358</v>
      </c>
      <c r="D95" s="52" t="s">
        <v>393</v>
      </c>
      <c r="E95" s="53"/>
      <c r="F95" s="74">
        <v>200</v>
      </c>
      <c r="G95" s="74">
        <v>200</v>
      </c>
      <c r="H95" s="74">
        <v>200</v>
      </c>
      <c r="I95" s="74">
        <v>200</v>
      </c>
      <c r="J95" s="74">
        <v>200</v>
      </c>
      <c r="K95" s="51">
        <v>1</v>
      </c>
      <c r="L95" s="51">
        <v>933</v>
      </c>
      <c r="M95" s="46" t="s">
        <v>201</v>
      </c>
      <c r="N95" s="52" t="s">
        <v>229</v>
      </c>
      <c r="O95" s="36" t="s">
        <v>205</v>
      </c>
      <c r="P95" s="36" t="s">
        <v>205</v>
      </c>
      <c r="Q95" s="36" t="s">
        <v>205</v>
      </c>
      <c r="R95" s="36" t="s">
        <v>205</v>
      </c>
      <c r="S95" s="56" t="s">
        <v>204</v>
      </c>
      <c r="T95" s="36" t="s">
        <v>204</v>
      </c>
      <c r="U95" s="52"/>
      <c r="V95" s="36" t="s">
        <v>250</v>
      </c>
      <c r="W95" s="52" t="s">
        <v>563</v>
      </c>
      <c r="X95" s="47" t="s">
        <v>681</v>
      </c>
      <c r="Y95" s="56"/>
      <c r="Z95" s="69">
        <v>138</v>
      </c>
      <c r="AA95" s="68"/>
      <c r="AB95" s="69"/>
      <c r="AC95" s="68"/>
      <c r="AD95" s="69">
        <v>147</v>
      </c>
      <c r="AE95" s="68"/>
    </row>
    <row r="96" spans="1:31" ht="60">
      <c r="A96" s="82">
        <v>763</v>
      </c>
      <c r="B96" s="82">
        <v>426</v>
      </c>
      <c r="C96" s="52" t="s">
        <v>359</v>
      </c>
      <c r="D96" s="52" t="s">
        <v>169</v>
      </c>
      <c r="E96" s="53"/>
      <c r="F96" s="74">
        <v>1</v>
      </c>
      <c r="G96" s="51">
        <v>1</v>
      </c>
      <c r="H96" s="51">
        <v>1</v>
      </c>
      <c r="I96" s="51">
        <v>1</v>
      </c>
      <c r="J96" s="51">
        <v>1</v>
      </c>
      <c r="K96" s="51">
        <v>0</v>
      </c>
      <c r="L96" s="51">
        <v>1</v>
      </c>
      <c r="M96" s="46" t="s">
        <v>200</v>
      </c>
      <c r="N96" s="52" t="s">
        <v>360</v>
      </c>
      <c r="O96" s="36" t="s">
        <v>205</v>
      </c>
      <c r="P96" s="36" t="s">
        <v>205</v>
      </c>
      <c r="Q96" s="36" t="s">
        <v>205</v>
      </c>
      <c r="R96" s="36" t="s">
        <v>205</v>
      </c>
      <c r="S96" s="36" t="s">
        <v>204</v>
      </c>
      <c r="T96" s="36" t="s">
        <v>204</v>
      </c>
      <c r="U96" s="52"/>
      <c r="V96" s="36" t="s">
        <v>250</v>
      </c>
      <c r="W96" s="52" t="s">
        <v>564</v>
      </c>
      <c r="X96" s="47" t="s">
        <v>681</v>
      </c>
      <c r="Y96" s="56"/>
      <c r="Z96" s="69">
        <v>145</v>
      </c>
      <c r="AA96" s="68"/>
      <c r="AB96" s="69"/>
      <c r="AC96" s="68"/>
      <c r="AD96" s="69">
        <v>149</v>
      </c>
      <c r="AE96" s="68"/>
    </row>
    <row r="97" spans="1:31" ht="36">
      <c r="A97" s="82">
        <v>763</v>
      </c>
      <c r="B97" s="82">
        <v>427</v>
      </c>
      <c r="C97" s="52" t="s">
        <v>170</v>
      </c>
      <c r="D97" s="52" t="s">
        <v>565</v>
      </c>
      <c r="E97" s="53"/>
      <c r="F97" s="74">
        <v>1</v>
      </c>
      <c r="G97" s="51">
        <v>1</v>
      </c>
      <c r="H97" s="51">
        <v>1</v>
      </c>
      <c r="I97" s="51">
        <v>1</v>
      </c>
      <c r="J97" s="51">
        <v>1</v>
      </c>
      <c r="K97" s="51">
        <v>0</v>
      </c>
      <c r="L97" s="51">
        <v>1</v>
      </c>
      <c r="M97" s="46" t="s">
        <v>200</v>
      </c>
      <c r="N97" s="52" t="s">
        <v>361</v>
      </c>
      <c r="O97" s="36" t="s">
        <v>205</v>
      </c>
      <c r="P97" s="36" t="s">
        <v>205</v>
      </c>
      <c r="Q97" s="36" t="s">
        <v>205</v>
      </c>
      <c r="R97" s="36" t="s">
        <v>205</v>
      </c>
      <c r="S97" s="36" t="s">
        <v>204</v>
      </c>
      <c r="T97" s="36" t="s">
        <v>204</v>
      </c>
      <c r="U97" s="52"/>
      <c r="V97" s="36" t="s">
        <v>250</v>
      </c>
      <c r="W97" s="52" t="s">
        <v>566</v>
      </c>
      <c r="X97" s="47" t="s">
        <v>681</v>
      </c>
      <c r="Y97" s="56"/>
      <c r="Z97" s="69">
        <v>146</v>
      </c>
      <c r="AA97" s="68"/>
      <c r="AB97" s="69"/>
      <c r="AC97" s="68"/>
      <c r="AD97" s="69">
        <v>150</v>
      </c>
      <c r="AE97" s="68"/>
    </row>
    <row r="98" spans="1:31" ht="48">
      <c r="A98" s="82">
        <v>763</v>
      </c>
      <c r="B98" s="82">
        <v>428</v>
      </c>
      <c r="C98" s="52" t="s">
        <v>567</v>
      </c>
      <c r="D98" s="52" t="s">
        <v>394</v>
      </c>
      <c r="E98" s="53"/>
      <c r="F98" s="74">
        <v>0</v>
      </c>
      <c r="G98" s="51">
        <v>0</v>
      </c>
      <c r="H98" s="51">
        <v>0</v>
      </c>
      <c r="I98" s="51">
        <v>0</v>
      </c>
      <c r="J98" s="51">
        <v>0</v>
      </c>
      <c r="K98" s="51">
        <v>0</v>
      </c>
      <c r="L98" s="51">
        <v>5100</v>
      </c>
      <c r="M98" s="46" t="s">
        <v>201</v>
      </c>
      <c r="N98" s="52" t="s">
        <v>230</v>
      </c>
      <c r="O98" s="36" t="s">
        <v>205</v>
      </c>
      <c r="P98" s="36" t="s">
        <v>204</v>
      </c>
      <c r="Q98" s="36" t="s">
        <v>205</v>
      </c>
      <c r="R98" s="36" t="s">
        <v>205</v>
      </c>
      <c r="S98" s="36" t="s">
        <v>204</v>
      </c>
      <c r="T98" s="36" t="s">
        <v>204</v>
      </c>
      <c r="U98" s="52"/>
      <c r="V98" s="36" t="s">
        <v>250</v>
      </c>
      <c r="W98" s="52" t="s">
        <v>568</v>
      </c>
      <c r="X98" s="47" t="s">
        <v>681</v>
      </c>
      <c r="Y98" s="56"/>
      <c r="Z98" s="69">
        <v>152</v>
      </c>
      <c r="AA98" s="68"/>
      <c r="AB98" s="69"/>
      <c r="AC98" s="68"/>
      <c r="AD98" s="69">
        <v>151</v>
      </c>
      <c r="AE98" s="68"/>
    </row>
    <row r="99" spans="1:31" ht="24">
      <c r="A99" s="82">
        <v>763</v>
      </c>
      <c r="B99" s="82">
        <v>429</v>
      </c>
      <c r="C99" s="52" t="s">
        <v>171</v>
      </c>
      <c r="D99" s="52" t="s">
        <v>395</v>
      </c>
      <c r="E99" s="53"/>
      <c r="F99" s="74">
        <v>4500</v>
      </c>
      <c r="G99" s="51">
        <v>4500</v>
      </c>
      <c r="H99" s="51">
        <v>4500</v>
      </c>
      <c r="I99" s="51">
        <v>4500</v>
      </c>
      <c r="J99" s="51">
        <v>4500</v>
      </c>
      <c r="K99" s="51">
        <v>4500</v>
      </c>
      <c r="L99" s="51">
        <v>5000</v>
      </c>
      <c r="M99" s="46" t="s">
        <v>201</v>
      </c>
      <c r="N99" s="52" t="s">
        <v>231</v>
      </c>
      <c r="O99" s="36" t="s">
        <v>205</v>
      </c>
      <c r="P99" s="36" t="s">
        <v>205</v>
      </c>
      <c r="Q99" s="36" t="s">
        <v>205</v>
      </c>
      <c r="R99" s="36" t="s">
        <v>205</v>
      </c>
      <c r="S99" s="36" t="s">
        <v>204</v>
      </c>
      <c r="T99" s="36" t="s">
        <v>204</v>
      </c>
      <c r="U99" s="52"/>
      <c r="V99" s="36" t="s">
        <v>250</v>
      </c>
      <c r="W99" s="52" t="s">
        <v>569</v>
      </c>
      <c r="X99" s="47" t="s">
        <v>681</v>
      </c>
      <c r="Y99" s="56"/>
      <c r="Z99" s="69">
        <v>154</v>
      </c>
      <c r="AA99" s="68"/>
      <c r="AB99" s="69"/>
      <c r="AC99" s="68"/>
      <c r="AD99" s="69">
        <v>153</v>
      </c>
      <c r="AE99" s="68"/>
    </row>
    <row r="100" spans="1:31" ht="36">
      <c r="A100" s="82" t="s">
        <v>106</v>
      </c>
      <c r="B100" s="82">
        <v>430</v>
      </c>
      <c r="C100" s="52" t="s">
        <v>172</v>
      </c>
      <c r="D100" s="52" t="s">
        <v>173</v>
      </c>
      <c r="E100" s="53"/>
      <c r="F100" s="74">
        <v>8</v>
      </c>
      <c r="G100" s="51">
        <v>8</v>
      </c>
      <c r="H100" s="51">
        <v>8</v>
      </c>
      <c r="I100" s="51">
        <v>8</v>
      </c>
      <c r="J100" s="51">
        <v>8</v>
      </c>
      <c r="K100" s="51">
        <v>0</v>
      </c>
      <c r="L100" s="51">
        <v>10</v>
      </c>
      <c r="M100" s="46" t="s">
        <v>200</v>
      </c>
      <c r="N100" s="52" t="s">
        <v>232</v>
      </c>
      <c r="O100" s="36" t="s">
        <v>205</v>
      </c>
      <c r="P100" s="36" t="s">
        <v>205</v>
      </c>
      <c r="Q100" s="36" t="s">
        <v>205</v>
      </c>
      <c r="R100" s="36" t="s">
        <v>205</v>
      </c>
      <c r="S100" s="56" t="s">
        <v>204</v>
      </c>
      <c r="T100" s="36" t="s">
        <v>204</v>
      </c>
      <c r="U100" s="52"/>
      <c r="V100" s="36" t="s">
        <v>251</v>
      </c>
      <c r="W100" s="52" t="s">
        <v>570</v>
      </c>
      <c r="X100" s="47" t="s">
        <v>681</v>
      </c>
      <c r="Y100" s="56"/>
      <c r="Z100" s="69">
        <v>147</v>
      </c>
      <c r="AA100" s="68"/>
      <c r="AB100" s="69"/>
      <c r="AC100" s="68"/>
      <c r="AD100" s="69">
        <v>155</v>
      </c>
      <c r="AE100" s="68"/>
    </row>
    <row r="101" spans="1:31" ht="36">
      <c r="A101" s="82" t="s">
        <v>106</v>
      </c>
      <c r="B101" s="82">
        <v>431</v>
      </c>
      <c r="C101" s="52" t="s">
        <v>174</v>
      </c>
      <c r="D101" s="52" t="s">
        <v>175</v>
      </c>
      <c r="E101" s="53"/>
      <c r="F101" s="74">
        <v>450</v>
      </c>
      <c r="G101" s="74">
        <v>450</v>
      </c>
      <c r="H101" s="74">
        <v>450</v>
      </c>
      <c r="I101" s="74">
        <v>450</v>
      </c>
      <c r="J101" s="74">
        <v>450</v>
      </c>
      <c r="K101" s="51">
        <v>0</v>
      </c>
      <c r="L101" s="51">
        <v>2000</v>
      </c>
      <c r="M101" s="46" t="s">
        <v>201</v>
      </c>
      <c r="N101" s="52" t="s">
        <v>679</v>
      </c>
      <c r="O101" s="36" t="s">
        <v>205</v>
      </c>
      <c r="P101" s="36" t="s">
        <v>205</v>
      </c>
      <c r="Q101" s="36" t="s">
        <v>205</v>
      </c>
      <c r="R101" s="36" t="s">
        <v>205</v>
      </c>
      <c r="S101" s="56" t="s">
        <v>204</v>
      </c>
      <c r="T101" s="36" t="s">
        <v>204</v>
      </c>
      <c r="U101" s="52"/>
      <c r="V101" s="36" t="s">
        <v>251</v>
      </c>
      <c r="W101" s="52" t="s">
        <v>571</v>
      </c>
      <c r="X101" s="47" t="s">
        <v>681</v>
      </c>
      <c r="Y101" s="56"/>
      <c r="Z101" s="69">
        <v>156</v>
      </c>
      <c r="AA101" s="68"/>
      <c r="AB101" s="69"/>
      <c r="AC101" s="68"/>
      <c r="AD101" s="69">
        <v>156</v>
      </c>
      <c r="AE101" s="68"/>
    </row>
    <row r="102" spans="1:31" ht="36">
      <c r="A102" s="82" t="s">
        <v>106</v>
      </c>
      <c r="B102" s="82">
        <v>432</v>
      </c>
      <c r="C102" s="64" t="s">
        <v>176</v>
      </c>
      <c r="D102" s="52" t="s">
        <v>177</v>
      </c>
      <c r="E102" s="54">
        <v>15</v>
      </c>
      <c r="F102" s="51">
        <v>0</v>
      </c>
      <c r="G102" s="51">
        <v>0</v>
      </c>
      <c r="H102" s="51">
        <v>0</v>
      </c>
      <c r="I102" s="51">
        <v>0</v>
      </c>
      <c r="J102" s="51">
        <v>0</v>
      </c>
      <c r="K102" s="51">
        <v>0</v>
      </c>
      <c r="L102" s="51">
        <v>100</v>
      </c>
      <c r="M102" s="46" t="s">
        <v>200</v>
      </c>
      <c r="N102" s="52" t="s">
        <v>233</v>
      </c>
      <c r="O102" s="36" t="s">
        <v>205</v>
      </c>
      <c r="P102" s="36" t="s">
        <v>205</v>
      </c>
      <c r="Q102" s="36" t="s">
        <v>205</v>
      </c>
      <c r="R102" s="36" t="s">
        <v>205</v>
      </c>
      <c r="S102" s="56" t="s">
        <v>204</v>
      </c>
      <c r="T102" s="36" t="s">
        <v>204</v>
      </c>
      <c r="U102" s="52"/>
      <c r="V102" s="36" t="s">
        <v>251</v>
      </c>
      <c r="W102" s="52" t="s">
        <v>572</v>
      </c>
      <c r="X102" s="47" t="s">
        <v>681</v>
      </c>
      <c r="Y102" s="56"/>
      <c r="Z102" s="69">
        <v>160</v>
      </c>
      <c r="AA102" s="68"/>
      <c r="AB102" s="69"/>
      <c r="AC102" s="68"/>
      <c r="AD102" s="69">
        <v>158</v>
      </c>
      <c r="AE102" s="68"/>
    </row>
    <row r="103" spans="1:31" ht="36">
      <c r="A103" s="82" t="s">
        <v>106</v>
      </c>
      <c r="B103" s="82">
        <v>433</v>
      </c>
      <c r="C103" s="52" t="s">
        <v>178</v>
      </c>
      <c r="D103" s="52" t="s">
        <v>179</v>
      </c>
      <c r="E103" s="53"/>
      <c r="F103" s="74">
        <v>500</v>
      </c>
      <c r="G103" s="74">
        <v>500</v>
      </c>
      <c r="H103" s="74">
        <v>500</v>
      </c>
      <c r="I103" s="74">
        <v>500</v>
      </c>
      <c r="J103" s="74">
        <v>500</v>
      </c>
      <c r="K103" s="51">
        <v>400</v>
      </c>
      <c r="L103" s="51">
        <v>700</v>
      </c>
      <c r="M103" s="46" t="s">
        <v>201</v>
      </c>
      <c r="N103" s="52" t="s">
        <v>232</v>
      </c>
      <c r="O103" s="36" t="s">
        <v>205</v>
      </c>
      <c r="P103" s="36" t="s">
        <v>205</v>
      </c>
      <c r="Q103" s="36" t="s">
        <v>205</v>
      </c>
      <c r="R103" s="36" t="s">
        <v>205</v>
      </c>
      <c r="S103" s="56" t="s">
        <v>204</v>
      </c>
      <c r="T103" s="36" t="s">
        <v>204</v>
      </c>
      <c r="U103" s="52"/>
      <c r="V103" s="36" t="s">
        <v>251</v>
      </c>
      <c r="W103" s="52" t="s">
        <v>573</v>
      </c>
      <c r="X103" s="47" t="s">
        <v>681</v>
      </c>
      <c r="Y103" s="56"/>
      <c r="Z103" s="69">
        <v>158</v>
      </c>
      <c r="AA103" s="68"/>
      <c r="AB103" s="69"/>
      <c r="AC103" s="68"/>
      <c r="AD103" s="69">
        <v>159</v>
      </c>
      <c r="AE103" s="68"/>
    </row>
    <row r="104" spans="1:31" ht="36">
      <c r="A104" s="82" t="s">
        <v>106</v>
      </c>
      <c r="B104" s="82">
        <v>434</v>
      </c>
      <c r="C104" s="52" t="s">
        <v>180</v>
      </c>
      <c r="D104" s="52" t="s">
        <v>181</v>
      </c>
      <c r="E104" s="54">
        <v>10</v>
      </c>
      <c r="F104" s="51">
        <v>0</v>
      </c>
      <c r="G104" s="51">
        <v>0</v>
      </c>
      <c r="H104" s="51">
        <v>0</v>
      </c>
      <c r="I104" s="51">
        <v>0</v>
      </c>
      <c r="J104" s="51">
        <v>0</v>
      </c>
      <c r="K104" s="51">
        <v>0</v>
      </c>
      <c r="L104" s="51">
        <v>100</v>
      </c>
      <c r="M104" s="46" t="s">
        <v>200</v>
      </c>
      <c r="N104" s="52" t="s">
        <v>232</v>
      </c>
      <c r="O104" s="36" t="s">
        <v>205</v>
      </c>
      <c r="P104" s="36" t="s">
        <v>205</v>
      </c>
      <c r="Q104" s="36" t="s">
        <v>205</v>
      </c>
      <c r="R104" s="36" t="s">
        <v>205</v>
      </c>
      <c r="S104" s="56" t="s">
        <v>204</v>
      </c>
      <c r="T104" s="36" t="s">
        <v>204</v>
      </c>
      <c r="U104" s="52"/>
      <c r="V104" s="36" t="s">
        <v>251</v>
      </c>
      <c r="W104" s="52" t="s">
        <v>574</v>
      </c>
      <c r="X104" s="47" t="s">
        <v>681</v>
      </c>
      <c r="Y104" s="56"/>
      <c r="Z104" s="69">
        <v>161</v>
      </c>
      <c r="AA104" s="68"/>
      <c r="AB104" s="69"/>
      <c r="AC104" s="68"/>
      <c r="AD104" s="69">
        <v>161</v>
      </c>
      <c r="AE104" s="68"/>
    </row>
    <row r="105" spans="1:31" ht="36">
      <c r="A105" s="82" t="s">
        <v>106</v>
      </c>
      <c r="B105" s="82">
        <v>435</v>
      </c>
      <c r="C105" s="52" t="s">
        <v>182</v>
      </c>
      <c r="D105" s="52" t="s">
        <v>183</v>
      </c>
      <c r="E105" s="54">
        <v>10</v>
      </c>
      <c r="F105" s="51">
        <v>26</v>
      </c>
      <c r="G105" s="51">
        <v>26</v>
      </c>
      <c r="H105" s="51">
        <v>26</v>
      </c>
      <c r="I105" s="51">
        <v>26</v>
      </c>
      <c r="J105" s="51">
        <v>26</v>
      </c>
      <c r="K105" s="51">
        <v>0</v>
      </c>
      <c r="L105" s="51">
        <v>40</v>
      </c>
      <c r="M105" s="46" t="s">
        <v>200</v>
      </c>
      <c r="N105" s="52" t="s">
        <v>680</v>
      </c>
      <c r="O105" s="36" t="s">
        <v>205</v>
      </c>
      <c r="P105" s="36" t="s">
        <v>205</v>
      </c>
      <c r="Q105" s="36" t="s">
        <v>205</v>
      </c>
      <c r="R105" s="36" t="s">
        <v>205</v>
      </c>
      <c r="S105" s="56" t="s">
        <v>204</v>
      </c>
      <c r="T105" s="36" t="s">
        <v>204</v>
      </c>
      <c r="U105" s="52"/>
      <c r="V105" s="36" t="s">
        <v>251</v>
      </c>
      <c r="W105" s="52" t="s">
        <v>575</v>
      </c>
      <c r="X105" s="47" t="s">
        <v>681</v>
      </c>
      <c r="Y105" s="56"/>
      <c r="Z105" s="69">
        <v>162</v>
      </c>
      <c r="AA105" s="68"/>
      <c r="AB105" s="69"/>
      <c r="AC105" s="68"/>
      <c r="AD105" s="69">
        <v>162</v>
      </c>
      <c r="AE105" s="68"/>
    </row>
    <row r="106" spans="1:31" ht="36">
      <c r="A106" s="82" t="s">
        <v>106</v>
      </c>
      <c r="B106" s="82">
        <v>436</v>
      </c>
      <c r="C106" s="52" t="s">
        <v>184</v>
      </c>
      <c r="D106" s="52" t="s">
        <v>185</v>
      </c>
      <c r="E106" s="54">
        <v>10</v>
      </c>
      <c r="F106" s="51">
        <v>0</v>
      </c>
      <c r="G106" s="51">
        <v>0</v>
      </c>
      <c r="H106" s="51">
        <v>0</v>
      </c>
      <c r="I106" s="51">
        <v>0</v>
      </c>
      <c r="J106" s="51">
        <v>0</v>
      </c>
      <c r="K106" s="51">
        <v>0</v>
      </c>
      <c r="L106" s="51">
        <v>200</v>
      </c>
      <c r="M106" s="46" t="s">
        <v>200</v>
      </c>
      <c r="N106" s="52" t="s">
        <v>232</v>
      </c>
      <c r="O106" s="36" t="s">
        <v>205</v>
      </c>
      <c r="P106" s="36" t="s">
        <v>205</v>
      </c>
      <c r="Q106" s="36" t="s">
        <v>205</v>
      </c>
      <c r="R106" s="36" t="s">
        <v>205</v>
      </c>
      <c r="S106" s="56" t="s">
        <v>204</v>
      </c>
      <c r="T106" s="36" t="s">
        <v>204</v>
      </c>
      <c r="U106" s="52"/>
      <c r="V106" s="36" t="s">
        <v>251</v>
      </c>
      <c r="W106" s="52" t="s">
        <v>576</v>
      </c>
      <c r="X106" s="47" t="s">
        <v>681</v>
      </c>
      <c r="Y106" s="56"/>
      <c r="Z106" s="69">
        <v>163</v>
      </c>
      <c r="AA106" s="68"/>
      <c r="AB106" s="69"/>
      <c r="AC106" s="68"/>
      <c r="AD106" s="69">
        <v>163</v>
      </c>
      <c r="AE106" s="68"/>
    </row>
    <row r="107" spans="1:31" ht="36">
      <c r="A107" s="82" t="s">
        <v>106</v>
      </c>
      <c r="B107" s="82">
        <v>437</v>
      </c>
      <c r="C107" s="52" t="s">
        <v>407</v>
      </c>
      <c r="D107" s="52" t="s">
        <v>396</v>
      </c>
      <c r="E107" s="54">
        <v>0</v>
      </c>
      <c r="F107" s="51">
        <v>120</v>
      </c>
      <c r="G107" s="51">
        <v>120</v>
      </c>
      <c r="H107" s="51">
        <v>120</v>
      </c>
      <c r="I107" s="51">
        <v>120</v>
      </c>
      <c r="J107" s="51">
        <v>120</v>
      </c>
      <c r="K107" s="51">
        <v>0</v>
      </c>
      <c r="L107" s="51">
        <v>250</v>
      </c>
      <c r="M107" s="46" t="s">
        <v>200</v>
      </c>
      <c r="N107" s="52" t="s">
        <v>234</v>
      </c>
      <c r="O107" s="36" t="s">
        <v>205</v>
      </c>
      <c r="P107" s="36" t="s">
        <v>205</v>
      </c>
      <c r="Q107" s="36" t="s">
        <v>205</v>
      </c>
      <c r="R107" s="36" t="s">
        <v>205</v>
      </c>
      <c r="S107" s="56" t="s">
        <v>204</v>
      </c>
      <c r="T107" s="36" t="s">
        <v>204</v>
      </c>
      <c r="U107" s="52"/>
      <c r="V107" s="36" t="s">
        <v>251</v>
      </c>
      <c r="W107" s="52" t="s">
        <v>577</v>
      </c>
      <c r="X107" s="47" t="s">
        <v>681</v>
      </c>
      <c r="Y107" s="56"/>
      <c r="Z107" s="69">
        <v>164</v>
      </c>
      <c r="AA107" s="68"/>
      <c r="AB107" s="69"/>
      <c r="AC107" s="68"/>
      <c r="AD107" s="69">
        <v>164</v>
      </c>
      <c r="AE107" s="68"/>
    </row>
    <row r="108" spans="1:31" ht="36">
      <c r="A108" s="82" t="s">
        <v>106</v>
      </c>
      <c r="B108" s="82">
        <v>438</v>
      </c>
      <c r="C108" s="52" t="s">
        <v>186</v>
      </c>
      <c r="D108" s="52" t="s">
        <v>397</v>
      </c>
      <c r="E108" s="54">
        <v>0</v>
      </c>
      <c r="F108" s="51">
        <v>120</v>
      </c>
      <c r="G108" s="51">
        <v>120</v>
      </c>
      <c r="H108" s="51">
        <v>120</v>
      </c>
      <c r="I108" s="51">
        <v>120</v>
      </c>
      <c r="J108" s="51">
        <v>120</v>
      </c>
      <c r="K108" s="51">
        <v>0</v>
      </c>
      <c r="L108" s="51">
        <v>250</v>
      </c>
      <c r="M108" s="46" t="s">
        <v>200</v>
      </c>
      <c r="N108" s="52" t="s">
        <v>235</v>
      </c>
      <c r="O108" s="36" t="s">
        <v>205</v>
      </c>
      <c r="P108" s="36" t="s">
        <v>205</v>
      </c>
      <c r="Q108" s="36" t="s">
        <v>205</v>
      </c>
      <c r="R108" s="36" t="s">
        <v>205</v>
      </c>
      <c r="S108" s="56" t="s">
        <v>204</v>
      </c>
      <c r="T108" s="36" t="s">
        <v>204</v>
      </c>
      <c r="U108" s="52"/>
      <c r="V108" s="36" t="s">
        <v>251</v>
      </c>
      <c r="W108" s="52" t="s">
        <v>578</v>
      </c>
      <c r="X108" s="47" t="s">
        <v>681</v>
      </c>
      <c r="Y108" s="56"/>
      <c r="Z108" s="69">
        <v>165</v>
      </c>
      <c r="AA108" s="68"/>
      <c r="AB108" s="69"/>
      <c r="AC108" s="68"/>
      <c r="AD108" s="69">
        <v>165</v>
      </c>
      <c r="AE108" s="68"/>
    </row>
    <row r="109" spans="1:31" ht="36">
      <c r="A109" s="82" t="s">
        <v>106</v>
      </c>
      <c r="B109" s="82">
        <v>439</v>
      </c>
      <c r="C109" s="52" t="s">
        <v>187</v>
      </c>
      <c r="D109" s="52" t="s">
        <v>579</v>
      </c>
      <c r="E109" s="54">
        <v>0</v>
      </c>
      <c r="F109" s="51">
        <v>120</v>
      </c>
      <c r="G109" s="51">
        <v>120</v>
      </c>
      <c r="H109" s="51">
        <v>120</v>
      </c>
      <c r="I109" s="51">
        <v>120</v>
      </c>
      <c r="J109" s="51">
        <v>120</v>
      </c>
      <c r="K109" s="51">
        <v>0</v>
      </c>
      <c r="L109" s="51">
        <v>250</v>
      </c>
      <c r="M109" s="46" t="s">
        <v>200</v>
      </c>
      <c r="N109" s="52" t="s">
        <v>236</v>
      </c>
      <c r="O109" s="36" t="s">
        <v>205</v>
      </c>
      <c r="P109" s="36" t="s">
        <v>205</v>
      </c>
      <c r="Q109" s="36" t="s">
        <v>205</v>
      </c>
      <c r="R109" s="36" t="s">
        <v>205</v>
      </c>
      <c r="S109" s="56" t="s">
        <v>204</v>
      </c>
      <c r="T109" s="36" t="s">
        <v>204</v>
      </c>
      <c r="U109" s="52"/>
      <c r="V109" s="36" t="s">
        <v>251</v>
      </c>
      <c r="W109" s="52" t="s">
        <v>580</v>
      </c>
      <c r="X109" s="47" t="s">
        <v>681</v>
      </c>
      <c r="Y109" s="56"/>
      <c r="Z109" s="69">
        <v>166</v>
      </c>
      <c r="AA109" s="68"/>
      <c r="AB109" s="69"/>
      <c r="AC109" s="68"/>
      <c r="AD109" s="69">
        <v>166</v>
      </c>
      <c r="AE109" s="68"/>
    </row>
    <row r="110" spans="1:31" ht="48">
      <c r="A110" s="82" t="s">
        <v>106</v>
      </c>
      <c r="B110" s="82">
        <v>440</v>
      </c>
      <c r="C110" s="52" t="s">
        <v>188</v>
      </c>
      <c r="D110" s="52" t="s">
        <v>581</v>
      </c>
      <c r="E110" s="54"/>
      <c r="F110" s="51">
        <v>2</v>
      </c>
      <c r="G110" s="51">
        <v>2</v>
      </c>
      <c r="H110" s="51">
        <v>2</v>
      </c>
      <c r="I110" s="51">
        <v>2</v>
      </c>
      <c r="J110" s="51">
        <v>2</v>
      </c>
      <c r="K110" s="51">
        <v>1</v>
      </c>
      <c r="L110" s="51">
        <v>3</v>
      </c>
      <c r="M110" s="46" t="s">
        <v>200</v>
      </c>
      <c r="N110" s="52" t="s">
        <v>237</v>
      </c>
      <c r="O110" s="36" t="s">
        <v>205</v>
      </c>
      <c r="P110" s="36" t="s">
        <v>205</v>
      </c>
      <c r="Q110" s="36" t="s">
        <v>205</v>
      </c>
      <c r="R110" s="36" t="s">
        <v>205</v>
      </c>
      <c r="S110" s="56" t="s">
        <v>204</v>
      </c>
      <c r="T110" s="36" t="s">
        <v>204</v>
      </c>
      <c r="U110" s="52"/>
      <c r="V110" s="36" t="s">
        <v>251</v>
      </c>
      <c r="W110" s="52" t="s">
        <v>582</v>
      </c>
      <c r="X110" s="47" t="s">
        <v>681</v>
      </c>
      <c r="Y110" s="56"/>
      <c r="Z110" s="69">
        <v>167</v>
      </c>
      <c r="AA110" s="68"/>
      <c r="AB110" s="69"/>
      <c r="AC110" s="68"/>
      <c r="AD110" s="69">
        <v>167</v>
      </c>
      <c r="AE110" s="68"/>
    </row>
    <row r="111" spans="1:31" ht="60">
      <c r="A111" s="82" t="s">
        <v>106</v>
      </c>
      <c r="B111" s="82">
        <v>441</v>
      </c>
      <c r="C111" s="52" t="s">
        <v>189</v>
      </c>
      <c r="D111" s="52" t="s">
        <v>583</v>
      </c>
      <c r="E111" s="54"/>
      <c r="F111" s="51">
        <v>2</v>
      </c>
      <c r="G111" s="51">
        <v>2</v>
      </c>
      <c r="H111" s="51">
        <v>2</v>
      </c>
      <c r="I111" s="51">
        <v>2</v>
      </c>
      <c r="J111" s="51">
        <v>2</v>
      </c>
      <c r="K111" s="51">
        <v>1</v>
      </c>
      <c r="L111" s="51">
        <v>3</v>
      </c>
      <c r="M111" s="46" t="s">
        <v>200</v>
      </c>
      <c r="N111" s="52" t="s">
        <v>238</v>
      </c>
      <c r="O111" s="36" t="s">
        <v>205</v>
      </c>
      <c r="P111" s="36" t="s">
        <v>205</v>
      </c>
      <c r="Q111" s="36" t="s">
        <v>205</v>
      </c>
      <c r="R111" s="36" t="s">
        <v>205</v>
      </c>
      <c r="S111" s="56" t="s">
        <v>204</v>
      </c>
      <c r="T111" s="36" t="s">
        <v>204</v>
      </c>
      <c r="U111" s="52"/>
      <c r="V111" s="36" t="s">
        <v>251</v>
      </c>
      <c r="W111" s="52" t="s">
        <v>584</v>
      </c>
      <c r="X111" s="47" t="s">
        <v>681</v>
      </c>
      <c r="Y111" s="56"/>
      <c r="Z111" s="69">
        <v>168</v>
      </c>
      <c r="AA111" s="68"/>
      <c r="AB111" s="69"/>
      <c r="AC111" s="68"/>
      <c r="AD111" s="69">
        <v>168</v>
      </c>
      <c r="AE111" s="68"/>
    </row>
    <row r="112" spans="1:31" ht="48">
      <c r="A112" s="82" t="s">
        <v>106</v>
      </c>
      <c r="B112" s="82">
        <v>442</v>
      </c>
      <c r="C112" s="52" t="s">
        <v>190</v>
      </c>
      <c r="D112" s="52" t="s">
        <v>585</v>
      </c>
      <c r="E112" s="54"/>
      <c r="F112" s="51">
        <v>2</v>
      </c>
      <c r="G112" s="51">
        <v>2</v>
      </c>
      <c r="H112" s="51">
        <v>2</v>
      </c>
      <c r="I112" s="51">
        <v>2</v>
      </c>
      <c r="J112" s="51">
        <v>2</v>
      </c>
      <c r="K112" s="51">
        <v>1</v>
      </c>
      <c r="L112" s="51">
        <v>3</v>
      </c>
      <c r="M112" s="46" t="s">
        <v>200</v>
      </c>
      <c r="N112" s="52" t="s">
        <v>239</v>
      </c>
      <c r="O112" s="36" t="s">
        <v>205</v>
      </c>
      <c r="P112" s="36" t="s">
        <v>205</v>
      </c>
      <c r="Q112" s="36" t="s">
        <v>205</v>
      </c>
      <c r="R112" s="36" t="s">
        <v>205</v>
      </c>
      <c r="S112" s="56" t="s">
        <v>204</v>
      </c>
      <c r="T112" s="36" t="s">
        <v>204</v>
      </c>
      <c r="U112" s="52"/>
      <c r="V112" s="36" t="s">
        <v>251</v>
      </c>
      <c r="W112" s="52" t="s">
        <v>586</v>
      </c>
      <c r="X112" s="47" t="s">
        <v>681</v>
      </c>
      <c r="Y112" s="56"/>
      <c r="Z112" s="69">
        <v>169</v>
      </c>
      <c r="AA112" s="68"/>
      <c r="AB112" s="69"/>
      <c r="AC112" s="68"/>
      <c r="AD112" s="69">
        <v>169</v>
      </c>
      <c r="AE112" s="68"/>
    </row>
    <row r="113" spans="1:31" ht="36">
      <c r="A113" s="82" t="s">
        <v>106</v>
      </c>
      <c r="B113" s="82">
        <v>443</v>
      </c>
      <c r="C113" s="52" t="s">
        <v>191</v>
      </c>
      <c r="D113" s="52" t="s">
        <v>192</v>
      </c>
      <c r="E113" s="54">
        <v>0</v>
      </c>
      <c r="F113" s="75">
        <v>2</v>
      </c>
      <c r="G113" s="75">
        <v>2</v>
      </c>
      <c r="H113" s="51">
        <v>2</v>
      </c>
      <c r="I113" s="75">
        <v>2</v>
      </c>
      <c r="J113" s="51">
        <v>2</v>
      </c>
      <c r="K113" s="51">
        <v>1</v>
      </c>
      <c r="L113" s="51">
        <v>10</v>
      </c>
      <c r="M113" s="46" t="s">
        <v>200</v>
      </c>
      <c r="N113" s="52" t="s">
        <v>240</v>
      </c>
      <c r="O113" s="36" t="s">
        <v>205</v>
      </c>
      <c r="P113" s="36" t="s">
        <v>205</v>
      </c>
      <c r="Q113" s="36" t="s">
        <v>205</v>
      </c>
      <c r="R113" s="36" t="s">
        <v>205</v>
      </c>
      <c r="S113" s="56" t="s">
        <v>204</v>
      </c>
      <c r="T113" s="36" t="s">
        <v>204</v>
      </c>
      <c r="U113" s="52"/>
      <c r="V113" s="36" t="s">
        <v>251</v>
      </c>
      <c r="W113" s="52" t="s">
        <v>587</v>
      </c>
      <c r="X113" s="47" t="s">
        <v>681</v>
      </c>
      <c r="Y113" s="56"/>
      <c r="Z113" s="69">
        <v>170</v>
      </c>
      <c r="AA113" s="68"/>
      <c r="AB113" s="69"/>
      <c r="AC113" s="68"/>
      <c r="AD113" s="69">
        <v>170</v>
      </c>
      <c r="AE113" s="68"/>
    </row>
    <row r="114" spans="1:31" ht="36">
      <c r="A114" s="82" t="s">
        <v>106</v>
      </c>
      <c r="B114" s="82">
        <v>444</v>
      </c>
      <c r="C114" s="52" t="s">
        <v>408</v>
      </c>
      <c r="D114" s="52" t="s">
        <v>193</v>
      </c>
      <c r="E114" s="55">
        <v>2</v>
      </c>
      <c r="F114" s="75">
        <v>2</v>
      </c>
      <c r="G114" s="75">
        <v>2</v>
      </c>
      <c r="H114" s="51">
        <v>2</v>
      </c>
      <c r="I114" s="75">
        <v>2</v>
      </c>
      <c r="J114" s="51">
        <v>2</v>
      </c>
      <c r="K114" s="51">
        <v>1</v>
      </c>
      <c r="L114" s="51">
        <v>10</v>
      </c>
      <c r="M114" s="46" t="s">
        <v>200</v>
      </c>
      <c r="N114" s="52" t="s">
        <v>240</v>
      </c>
      <c r="O114" s="36" t="s">
        <v>205</v>
      </c>
      <c r="P114" s="36" t="s">
        <v>205</v>
      </c>
      <c r="Q114" s="36" t="s">
        <v>205</v>
      </c>
      <c r="R114" s="36" t="s">
        <v>205</v>
      </c>
      <c r="S114" s="56" t="s">
        <v>204</v>
      </c>
      <c r="T114" s="36" t="s">
        <v>204</v>
      </c>
      <c r="U114" s="52"/>
      <c r="V114" s="36" t="s">
        <v>251</v>
      </c>
      <c r="W114" s="52" t="s">
        <v>588</v>
      </c>
      <c r="X114" s="47" t="s">
        <v>681</v>
      </c>
      <c r="Y114" s="56"/>
      <c r="Z114" s="69">
        <v>171</v>
      </c>
      <c r="AA114" s="68"/>
      <c r="AB114" s="69"/>
      <c r="AC114" s="68"/>
      <c r="AD114" s="69">
        <v>171</v>
      </c>
      <c r="AE114" s="68"/>
    </row>
    <row r="115" spans="1:31" ht="36">
      <c r="A115" s="82" t="s">
        <v>106</v>
      </c>
      <c r="B115" s="82">
        <v>445</v>
      </c>
      <c r="C115" s="52" t="s">
        <v>194</v>
      </c>
      <c r="D115" s="52" t="s">
        <v>195</v>
      </c>
      <c r="E115" s="55">
        <v>2</v>
      </c>
      <c r="F115" s="75">
        <v>5</v>
      </c>
      <c r="G115" s="75">
        <v>5</v>
      </c>
      <c r="H115" s="51">
        <v>5</v>
      </c>
      <c r="I115" s="75">
        <v>5</v>
      </c>
      <c r="J115" s="51">
        <v>5</v>
      </c>
      <c r="K115" s="51">
        <v>1</v>
      </c>
      <c r="L115" s="51">
        <v>10</v>
      </c>
      <c r="M115" s="46" t="s">
        <v>200</v>
      </c>
      <c r="N115" s="52" t="s">
        <v>240</v>
      </c>
      <c r="O115" s="36" t="s">
        <v>205</v>
      </c>
      <c r="P115" s="36" t="s">
        <v>205</v>
      </c>
      <c r="Q115" s="36" t="s">
        <v>205</v>
      </c>
      <c r="R115" s="36" t="s">
        <v>205</v>
      </c>
      <c r="S115" s="56" t="s">
        <v>204</v>
      </c>
      <c r="T115" s="36" t="s">
        <v>204</v>
      </c>
      <c r="U115" s="52"/>
      <c r="V115" s="36" t="s">
        <v>251</v>
      </c>
      <c r="W115" s="52" t="s">
        <v>589</v>
      </c>
      <c r="X115" s="47" t="s">
        <v>681</v>
      </c>
      <c r="Y115" s="56"/>
      <c r="Z115" s="69">
        <v>172</v>
      </c>
      <c r="AA115" s="68"/>
      <c r="AB115" s="69"/>
      <c r="AC115" s="68"/>
      <c r="AD115" s="69">
        <v>172</v>
      </c>
      <c r="AE115" s="68"/>
    </row>
    <row r="116" spans="1:31" ht="36">
      <c r="A116" s="82" t="s">
        <v>106</v>
      </c>
      <c r="B116" s="82">
        <v>446</v>
      </c>
      <c r="C116" s="52" t="s">
        <v>409</v>
      </c>
      <c r="D116" s="52" t="s">
        <v>196</v>
      </c>
      <c r="E116" s="55">
        <v>2</v>
      </c>
      <c r="F116" s="75">
        <v>5</v>
      </c>
      <c r="G116" s="75">
        <v>5</v>
      </c>
      <c r="H116" s="51">
        <v>5</v>
      </c>
      <c r="I116" s="75">
        <v>5</v>
      </c>
      <c r="J116" s="51">
        <v>5</v>
      </c>
      <c r="K116" s="51">
        <v>1</v>
      </c>
      <c r="L116" s="51">
        <v>10</v>
      </c>
      <c r="M116" s="46" t="s">
        <v>200</v>
      </c>
      <c r="N116" s="52" t="s">
        <v>240</v>
      </c>
      <c r="O116" s="36" t="s">
        <v>205</v>
      </c>
      <c r="P116" s="36" t="s">
        <v>205</v>
      </c>
      <c r="Q116" s="36" t="s">
        <v>205</v>
      </c>
      <c r="R116" s="36" t="s">
        <v>205</v>
      </c>
      <c r="S116" s="56" t="s">
        <v>204</v>
      </c>
      <c r="T116" s="36" t="s">
        <v>204</v>
      </c>
      <c r="U116" s="52"/>
      <c r="V116" s="36" t="s">
        <v>251</v>
      </c>
      <c r="W116" s="52" t="s">
        <v>590</v>
      </c>
      <c r="X116" s="47" t="s">
        <v>681</v>
      </c>
      <c r="Y116" s="56"/>
      <c r="Z116" s="69">
        <v>173</v>
      </c>
      <c r="AA116" s="68"/>
      <c r="AB116" s="69"/>
      <c r="AC116" s="68"/>
      <c r="AD116" s="69">
        <v>173</v>
      </c>
      <c r="AE116" s="68"/>
    </row>
    <row r="117" spans="1:31" ht="36">
      <c r="A117" s="82" t="s">
        <v>106</v>
      </c>
      <c r="B117" s="82">
        <v>447</v>
      </c>
      <c r="C117" s="52" t="s">
        <v>197</v>
      </c>
      <c r="D117" s="52" t="s">
        <v>198</v>
      </c>
      <c r="E117" s="55">
        <v>2</v>
      </c>
      <c r="F117" s="75">
        <v>5</v>
      </c>
      <c r="G117" s="75">
        <v>5</v>
      </c>
      <c r="H117" s="51">
        <v>5</v>
      </c>
      <c r="I117" s="75">
        <v>5</v>
      </c>
      <c r="J117" s="51">
        <v>5</v>
      </c>
      <c r="K117" s="51">
        <v>1</v>
      </c>
      <c r="L117" s="51">
        <v>10</v>
      </c>
      <c r="M117" s="46" t="s">
        <v>200</v>
      </c>
      <c r="N117" s="52" t="s">
        <v>240</v>
      </c>
      <c r="O117" s="36" t="s">
        <v>205</v>
      </c>
      <c r="P117" s="36" t="s">
        <v>205</v>
      </c>
      <c r="Q117" s="36" t="s">
        <v>205</v>
      </c>
      <c r="R117" s="36" t="s">
        <v>205</v>
      </c>
      <c r="S117" s="56" t="s">
        <v>204</v>
      </c>
      <c r="T117" s="36" t="s">
        <v>204</v>
      </c>
      <c r="U117" s="52"/>
      <c r="V117" s="36" t="s">
        <v>251</v>
      </c>
      <c r="W117" s="52" t="s">
        <v>591</v>
      </c>
      <c r="X117" s="47" t="s">
        <v>681</v>
      </c>
      <c r="Y117" s="56"/>
      <c r="Z117" s="69">
        <v>174</v>
      </c>
      <c r="AA117" s="68"/>
      <c r="AB117" s="69"/>
      <c r="AC117" s="68"/>
      <c r="AD117" s="69">
        <v>174</v>
      </c>
      <c r="AE117" s="68"/>
    </row>
    <row r="118" spans="1:31" ht="36">
      <c r="A118" s="82" t="s">
        <v>106</v>
      </c>
      <c r="B118" s="82">
        <v>448</v>
      </c>
      <c r="C118" s="52" t="s">
        <v>410</v>
      </c>
      <c r="D118" s="52" t="s">
        <v>199</v>
      </c>
      <c r="E118" s="55">
        <v>2</v>
      </c>
      <c r="F118" s="75">
        <v>5</v>
      </c>
      <c r="G118" s="75">
        <v>5</v>
      </c>
      <c r="H118" s="51">
        <v>5</v>
      </c>
      <c r="I118" s="75">
        <v>5</v>
      </c>
      <c r="J118" s="51">
        <v>5</v>
      </c>
      <c r="K118" s="51">
        <v>1</v>
      </c>
      <c r="L118" s="51">
        <v>10</v>
      </c>
      <c r="M118" s="46" t="s">
        <v>200</v>
      </c>
      <c r="N118" s="52" t="s">
        <v>240</v>
      </c>
      <c r="O118" s="36" t="s">
        <v>205</v>
      </c>
      <c r="P118" s="36" t="s">
        <v>205</v>
      </c>
      <c r="Q118" s="36" t="s">
        <v>205</v>
      </c>
      <c r="R118" s="36" t="s">
        <v>205</v>
      </c>
      <c r="S118" s="56" t="s">
        <v>204</v>
      </c>
      <c r="T118" s="36" t="s">
        <v>204</v>
      </c>
      <c r="U118" s="52"/>
      <c r="V118" s="36" t="s">
        <v>251</v>
      </c>
      <c r="W118" s="52" t="s">
        <v>592</v>
      </c>
      <c r="X118" s="47" t="s">
        <v>681</v>
      </c>
      <c r="Y118" s="56"/>
      <c r="Z118" s="69">
        <v>175</v>
      </c>
      <c r="AA118" s="68"/>
      <c r="AB118" s="69"/>
      <c r="AC118" s="68"/>
      <c r="AD118" s="69">
        <v>175</v>
      </c>
      <c r="AE118" s="68"/>
    </row>
    <row r="119" spans="1:31" ht="24">
      <c r="A119" s="82" t="s">
        <v>106</v>
      </c>
      <c r="B119" s="82">
        <v>449</v>
      </c>
      <c r="C119" s="52" t="s">
        <v>593</v>
      </c>
      <c r="D119" s="52" t="s">
        <v>594</v>
      </c>
      <c r="E119" s="53"/>
      <c r="F119" s="74">
        <v>2</v>
      </c>
      <c r="G119" s="74">
        <v>2</v>
      </c>
      <c r="H119" s="74">
        <v>2</v>
      </c>
      <c r="I119" s="74">
        <v>2</v>
      </c>
      <c r="J119" s="74">
        <v>2</v>
      </c>
      <c r="K119" s="51">
        <v>1</v>
      </c>
      <c r="L119" s="51">
        <v>75</v>
      </c>
      <c r="M119" s="46" t="s">
        <v>200</v>
      </c>
      <c r="N119" s="52" t="s">
        <v>595</v>
      </c>
      <c r="O119" s="36" t="s">
        <v>205</v>
      </c>
      <c r="P119" s="36" t="s">
        <v>205</v>
      </c>
      <c r="Q119" s="36" t="s">
        <v>205</v>
      </c>
      <c r="R119" s="36" t="s">
        <v>205</v>
      </c>
      <c r="S119" s="56" t="s">
        <v>204</v>
      </c>
      <c r="T119" s="36" t="s">
        <v>204</v>
      </c>
      <c r="U119" s="52"/>
      <c r="V119" s="36" t="s">
        <v>251</v>
      </c>
      <c r="W119" s="52" t="s">
        <v>596</v>
      </c>
      <c r="X119" s="47" t="s">
        <v>681</v>
      </c>
      <c r="Y119" s="56"/>
      <c r="Z119" s="69">
        <v>176</v>
      </c>
      <c r="AA119" s="68"/>
      <c r="AB119" s="69"/>
      <c r="AC119" s="68"/>
      <c r="AD119" s="69">
        <v>176</v>
      </c>
      <c r="AE119" s="68"/>
    </row>
    <row r="120" spans="1:31" ht="24">
      <c r="A120" s="82" t="s">
        <v>106</v>
      </c>
      <c r="B120" s="82">
        <v>450</v>
      </c>
      <c r="C120" s="52" t="s">
        <v>597</v>
      </c>
      <c r="D120" s="52" t="s">
        <v>598</v>
      </c>
      <c r="E120" s="53"/>
      <c r="F120" s="74">
        <v>200</v>
      </c>
      <c r="G120" s="74">
        <v>200</v>
      </c>
      <c r="H120" s="74">
        <v>200</v>
      </c>
      <c r="I120" s="74">
        <v>200</v>
      </c>
      <c r="J120" s="74">
        <v>200</v>
      </c>
      <c r="K120" s="51">
        <v>1</v>
      </c>
      <c r="L120" s="51">
        <v>933</v>
      </c>
      <c r="M120" s="46" t="s">
        <v>201</v>
      </c>
      <c r="N120" s="52" t="s">
        <v>229</v>
      </c>
      <c r="O120" s="36" t="s">
        <v>205</v>
      </c>
      <c r="P120" s="36" t="s">
        <v>205</v>
      </c>
      <c r="Q120" s="36" t="s">
        <v>205</v>
      </c>
      <c r="R120" s="36" t="s">
        <v>205</v>
      </c>
      <c r="S120" s="56" t="s">
        <v>204</v>
      </c>
      <c r="T120" s="36" t="s">
        <v>204</v>
      </c>
      <c r="U120" s="52"/>
      <c r="V120" s="36" t="s">
        <v>250</v>
      </c>
      <c r="W120" s="52" t="s">
        <v>599</v>
      </c>
      <c r="X120" s="47" t="s">
        <v>681</v>
      </c>
      <c r="Y120" s="56"/>
      <c r="Z120" s="69">
        <v>180</v>
      </c>
      <c r="AA120" s="68"/>
      <c r="AB120" s="69"/>
      <c r="AC120" s="68"/>
      <c r="AD120" s="69">
        <v>177</v>
      </c>
      <c r="AE120" s="68"/>
    </row>
    <row r="121" spans="1:31" ht="24">
      <c r="A121" s="82" t="s">
        <v>106</v>
      </c>
      <c r="B121" s="82">
        <v>451</v>
      </c>
      <c r="C121" s="52" t="s">
        <v>600</v>
      </c>
      <c r="D121" s="52" t="s">
        <v>601</v>
      </c>
      <c r="E121" s="53"/>
      <c r="F121" s="74">
        <v>200</v>
      </c>
      <c r="G121" s="74">
        <v>200</v>
      </c>
      <c r="H121" s="74">
        <v>200</v>
      </c>
      <c r="I121" s="74">
        <v>200</v>
      </c>
      <c r="J121" s="74">
        <v>200</v>
      </c>
      <c r="K121" s="51">
        <v>1</v>
      </c>
      <c r="L121" s="51">
        <v>933</v>
      </c>
      <c r="M121" s="46" t="s">
        <v>201</v>
      </c>
      <c r="N121" s="52" t="s">
        <v>229</v>
      </c>
      <c r="O121" s="36" t="s">
        <v>205</v>
      </c>
      <c r="P121" s="36" t="s">
        <v>205</v>
      </c>
      <c r="Q121" s="36" t="s">
        <v>205</v>
      </c>
      <c r="R121" s="36" t="s">
        <v>205</v>
      </c>
      <c r="S121" s="56" t="s">
        <v>204</v>
      </c>
      <c r="T121" s="36" t="s">
        <v>204</v>
      </c>
      <c r="U121" s="52"/>
      <c r="V121" s="36" t="s">
        <v>250</v>
      </c>
      <c r="W121" s="52" t="s">
        <v>602</v>
      </c>
      <c r="X121" s="47" t="s">
        <v>681</v>
      </c>
      <c r="Y121" s="56"/>
      <c r="Z121" s="69">
        <v>182</v>
      </c>
      <c r="AA121" s="68"/>
      <c r="AB121" s="69"/>
      <c r="AC121" s="68"/>
      <c r="AD121" s="69">
        <v>179</v>
      </c>
      <c r="AE121" s="68"/>
    </row>
    <row r="122" spans="1:31" ht="24">
      <c r="A122" s="82" t="s">
        <v>106</v>
      </c>
      <c r="B122" s="82">
        <v>452</v>
      </c>
      <c r="C122" s="52" t="s">
        <v>420</v>
      </c>
      <c r="D122" s="52" t="s">
        <v>603</v>
      </c>
      <c r="E122" s="53"/>
      <c r="F122" s="74">
        <v>21</v>
      </c>
      <c r="G122" s="74">
        <v>21</v>
      </c>
      <c r="H122" s="74">
        <v>21</v>
      </c>
      <c r="I122" s="74">
        <v>21</v>
      </c>
      <c r="J122" s="74">
        <v>21</v>
      </c>
      <c r="K122" s="51">
        <v>1</v>
      </c>
      <c r="L122" s="51">
        <v>75</v>
      </c>
      <c r="M122" s="46" t="s">
        <v>200</v>
      </c>
      <c r="N122" s="52" t="s">
        <v>229</v>
      </c>
      <c r="O122" s="36" t="s">
        <v>205</v>
      </c>
      <c r="P122" s="36" t="s">
        <v>205</v>
      </c>
      <c r="Q122" s="36" t="s">
        <v>205</v>
      </c>
      <c r="R122" s="36" t="s">
        <v>205</v>
      </c>
      <c r="S122" s="56" t="s">
        <v>204</v>
      </c>
      <c r="T122" s="36" t="s">
        <v>204</v>
      </c>
      <c r="U122" s="52"/>
      <c r="V122" s="36" t="s">
        <v>248</v>
      </c>
      <c r="W122" s="52" t="s">
        <v>604</v>
      </c>
      <c r="X122" s="47" t="s">
        <v>681</v>
      </c>
      <c r="Y122" s="56"/>
      <c r="Z122" s="69">
        <v>177</v>
      </c>
      <c r="AA122" s="68"/>
      <c r="AB122" s="69"/>
      <c r="AC122" s="68"/>
      <c r="AD122" s="69">
        <v>181</v>
      </c>
      <c r="AE122" s="68"/>
    </row>
    <row r="123" spans="1:31" ht="24">
      <c r="A123" s="82" t="s">
        <v>106</v>
      </c>
      <c r="B123" s="82">
        <v>453</v>
      </c>
      <c r="C123" s="52" t="s">
        <v>605</v>
      </c>
      <c r="D123" s="52" t="s">
        <v>606</v>
      </c>
      <c r="E123" s="53"/>
      <c r="F123" s="74">
        <v>2</v>
      </c>
      <c r="G123" s="74">
        <v>2</v>
      </c>
      <c r="H123" s="74">
        <v>2</v>
      </c>
      <c r="I123" s="74">
        <v>2</v>
      </c>
      <c r="J123" s="74">
        <v>2</v>
      </c>
      <c r="K123" s="51">
        <v>1</v>
      </c>
      <c r="L123" s="51">
        <v>75</v>
      </c>
      <c r="M123" s="46" t="s">
        <v>200</v>
      </c>
      <c r="N123" s="52" t="s">
        <v>229</v>
      </c>
      <c r="O123" s="36" t="s">
        <v>205</v>
      </c>
      <c r="P123" s="36" t="s">
        <v>205</v>
      </c>
      <c r="Q123" s="36" t="s">
        <v>205</v>
      </c>
      <c r="R123" s="36" t="s">
        <v>205</v>
      </c>
      <c r="S123" s="56" t="s">
        <v>204</v>
      </c>
      <c r="T123" s="36" t="s">
        <v>204</v>
      </c>
      <c r="U123" s="52"/>
      <c r="V123" s="36" t="s">
        <v>248</v>
      </c>
      <c r="W123" s="52" t="s">
        <v>607</v>
      </c>
      <c r="X123" s="47" t="s">
        <v>681</v>
      </c>
      <c r="Y123" s="56"/>
      <c r="Z123" s="69">
        <v>178</v>
      </c>
      <c r="AA123" s="68"/>
      <c r="AB123" s="69"/>
      <c r="AC123" s="68"/>
      <c r="AD123" s="69">
        <v>182</v>
      </c>
      <c r="AE123" s="68"/>
    </row>
    <row r="124" spans="1:31" ht="60">
      <c r="A124" s="82" t="s">
        <v>106</v>
      </c>
      <c r="B124" s="82">
        <v>454</v>
      </c>
      <c r="C124" s="52" t="s">
        <v>608</v>
      </c>
      <c r="D124" s="52" t="s">
        <v>609</v>
      </c>
      <c r="E124" s="53"/>
      <c r="F124" s="74">
        <v>0</v>
      </c>
      <c r="G124" s="74">
        <v>0</v>
      </c>
      <c r="H124" s="74">
        <v>0</v>
      </c>
      <c r="I124" s="74">
        <v>0</v>
      </c>
      <c r="J124" s="74">
        <v>0</v>
      </c>
      <c r="K124" s="51">
        <v>0</v>
      </c>
      <c r="L124" s="51">
        <v>450</v>
      </c>
      <c r="M124" s="46" t="s">
        <v>201</v>
      </c>
      <c r="N124" s="52" t="s">
        <v>610</v>
      </c>
      <c r="O124" s="36" t="s">
        <v>205</v>
      </c>
      <c r="P124" s="36" t="s">
        <v>205</v>
      </c>
      <c r="Q124" s="36" t="s">
        <v>205</v>
      </c>
      <c r="R124" s="36" t="s">
        <v>205</v>
      </c>
      <c r="S124" s="56" t="s">
        <v>204</v>
      </c>
      <c r="T124" s="36" t="s">
        <v>204</v>
      </c>
      <c r="U124" s="52"/>
      <c r="V124" s="36" t="s">
        <v>723</v>
      </c>
      <c r="W124" s="52" t="s">
        <v>611</v>
      </c>
      <c r="X124" s="47" t="s">
        <v>681</v>
      </c>
      <c r="Y124" s="56"/>
      <c r="Z124" s="69">
        <v>184</v>
      </c>
      <c r="AA124" s="68"/>
      <c r="AB124" s="69"/>
      <c r="AC124" s="68"/>
      <c r="AD124" s="69">
        <v>183</v>
      </c>
      <c r="AE124" s="68"/>
    </row>
    <row r="125" spans="1:31" ht="36">
      <c r="A125" s="82" t="s">
        <v>106</v>
      </c>
      <c r="B125" s="82">
        <v>455</v>
      </c>
      <c r="C125" s="52" t="s">
        <v>612</v>
      </c>
      <c r="D125" s="52" t="s">
        <v>613</v>
      </c>
      <c r="E125" s="53"/>
      <c r="F125" s="74">
        <v>0</v>
      </c>
      <c r="G125" s="74">
        <v>0</v>
      </c>
      <c r="H125" s="74">
        <v>0</v>
      </c>
      <c r="I125" s="74">
        <v>0</v>
      </c>
      <c r="J125" s="74">
        <v>0</v>
      </c>
      <c r="K125" s="51">
        <v>0</v>
      </c>
      <c r="L125" s="51">
        <v>450</v>
      </c>
      <c r="M125" s="46" t="s">
        <v>201</v>
      </c>
      <c r="N125" s="52" t="s">
        <v>614</v>
      </c>
      <c r="O125" s="36" t="s">
        <v>205</v>
      </c>
      <c r="P125" s="36" t="s">
        <v>205</v>
      </c>
      <c r="Q125" s="36" t="s">
        <v>205</v>
      </c>
      <c r="R125" s="36" t="s">
        <v>205</v>
      </c>
      <c r="S125" s="56" t="s">
        <v>204</v>
      </c>
      <c r="T125" s="36" t="s">
        <v>204</v>
      </c>
      <c r="U125" s="52"/>
      <c r="V125" s="36" t="s">
        <v>723</v>
      </c>
      <c r="W125" s="52" t="s">
        <v>615</v>
      </c>
      <c r="X125" s="47" t="s">
        <v>681</v>
      </c>
      <c r="Y125" s="56"/>
      <c r="Z125" s="69">
        <v>186</v>
      </c>
      <c r="AA125" s="68"/>
      <c r="AB125" s="69"/>
      <c r="AC125" s="68"/>
      <c r="AD125" s="69">
        <v>185</v>
      </c>
      <c r="AE125" s="68"/>
    </row>
    <row r="126" spans="1:31" ht="36">
      <c r="A126" s="82" t="s">
        <v>106</v>
      </c>
      <c r="B126" s="82">
        <v>456</v>
      </c>
      <c r="C126" s="52" t="s">
        <v>616</v>
      </c>
      <c r="D126" s="52" t="s">
        <v>617</v>
      </c>
      <c r="E126" s="53"/>
      <c r="F126" s="74">
        <v>0</v>
      </c>
      <c r="G126" s="74">
        <v>0</v>
      </c>
      <c r="H126" s="74">
        <v>0</v>
      </c>
      <c r="I126" s="74">
        <v>0</v>
      </c>
      <c r="J126" s="74">
        <v>0</v>
      </c>
      <c r="K126" s="51">
        <v>0</v>
      </c>
      <c r="L126" s="51">
        <v>450</v>
      </c>
      <c r="M126" s="46" t="s">
        <v>201</v>
      </c>
      <c r="N126" s="52" t="s">
        <v>618</v>
      </c>
      <c r="O126" s="36" t="s">
        <v>205</v>
      </c>
      <c r="P126" s="36" t="s">
        <v>205</v>
      </c>
      <c r="Q126" s="36" t="s">
        <v>205</v>
      </c>
      <c r="R126" s="36" t="s">
        <v>205</v>
      </c>
      <c r="S126" s="56" t="s">
        <v>204</v>
      </c>
      <c r="T126" s="36" t="s">
        <v>204</v>
      </c>
      <c r="U126" s="52"/>
      <c r="V126" s="36" t="s">
        <v>723</v>
      </c>
      <c r="W126" s="52" t="s">
        <v>619</v>
      </c>
      <c r="X126" s="47" t="s">
        <v>681</v>
      </c>
      <c r="Y126" s="56"/>
      <c r="Z126" s="69">
        <v>188</v>
      </c>
      <c r="AA126" s="68"/>
      <c r="AB126" s="69"/>
      <c r="AC126" s="68"/>
      <c r="AD126" s="69">
        <v>187</v>
      </c>
      <c r="AE126" s="68"/>
    </row>
    <row r="127" spans="1:31" ht="36">
      <c r="A127" s="82" t="s">
        <v>106</v>
      </c>
      <c r="B127" s="82">
        <v>457</v>
      </c>
      <c r="C127" s="52" t="s">
        <v>620</v>
      </c>
      <c r="D127" s="52" t="s">
        <v>621</v>
      </c>
      <c r="E127" s="53"/>
      <c r="F127" s="74">
        <v>0</v>
      </c>
      <c r="G127" s="74">
        <v>0</v>
      </c>
      <c r="H127" s="74">
        <v>0</v>
      </c>
      <c r="I127" s="74">
        <v>0</v>
      </c>
      <c r="J127" s="74">
        <v>0</v>
      </c>
      <c r="K127" s="51">
        <v>0</v>
      </c>
      <c r="L127" s="51">
        <v>450</v>
      </c>
      <c r="M127" s="46" t="s">
        <v>201</v>
      </c>
      <c r="N127" s="52" t="s">
        <v>614</v>
      </c>
      <c r="O127" s="36" t="s">
        <v>205</v>
      </c>
      <c r="P127" s="36" t="s">
        <v>205</v>
      </c>
      <c r="Q127" s="36" t="s">
        <v>205</v>
      </c>
      <c r="R127" s="36" t="s">
        <v>205</v>
      </c>
      <c r="S127" s="56" t="s">
        <v>204</v>
      </c>
      <c r="T127" s="36" t="s">
        <v>204</v>
      </c>
      <c r="U127" s="52"/>
      <c r="V127" s="36" t="s">
        <v>723</v>
      </c>
      <c r="W127" s="52" t="s">
        <v>622</v>
      </c>
      <c r="X127" s="47" t="s">
        <v>681</v>
      </c>
      <c r="Y127" s="56"/>
      <c r="Z127" s="69">
        <v>190</v>
      </c>
      <c r="AA127" s="68"/>
      <c r="AB127" s="69"/>
      <c r="AC127" s="68"/>
      <c r="AD127" s="69">
        <v>189</v>
      </c>
      <c r="AE127" s="68"/>
    </row>
    <row r="128" spans="1:31" ht="24">
      <c r="A128" s="82" t="s">
        <v>106</v>
      </c>
      <c r="B128" s="82">
        <v>458</v>
      </c>
      <c r="C128" s="52" t="s">
        <v>623</v>
      </c>
      <c r="D128" s="52" t="s">
        <v>624</v>
      </c>
      <c r="E128" s="53"/>
      <c r="F128" s="74">
        <v>5</v>
      </c>
      <c r="G128" s="74">
        <v>5</v>
      </c>
      <c r="H128" s="74">
        <v>5</v>
      </c>
      <c r="I128" s="74">
        <v>5</v>
      </c>
      <c r="J128" s="74">
        <v>5</v>
      </c>
      <c r="K128" s="51">
        <v>0</v>
      </c>
      <c r="L128" s="51">
        <v>10</v>
      </c>
      <c r="M128" s="46" t="s">
        <v>200</v>
      </c>
      <c r="N128" s="52" t="s">
        <v>625</v>
      </c>
      <c r="O128" s="36" t="s">
        <v>205</v>
      </c>
      <c r="P128" s="36" t="s">
        <v>205</v>
      </c>
      <c r="Q128" s="36" t="s">
        <v>205</v>
      </c>
      <c r="R128" s="36" t="s">
        <v>205</v>
      </c>
      <c r="S128" s="56" t="s">
        <v>204</v>
      </c>
      <c r="T128" s="36" t="s">
        <v>204</v>
      </c>
      <c r="U128" s="52"/>
      <c r="V128" s="36" t="s">
        <v>723</v>
      </c>
      <c r="W128" s="52" t="s">
        <v>626</v>
      </c>
      <c r="X128" s="47" t="s">
        <v>681</v>
      </c>
      <c r="Y128" s="56"/>
      <c r="Z128" s="69">
        <v>179</v>
      </c>
      <c r="AA128" s="68"/>
      <c r="AB128" s="69"/>
      <c r="AC128" s="68"/>
      <c r="AD128" s="69">
        <v>191</v>
      </c>
      <c r="AE128" s="68"/>
    </row>
    <row r="129" spans="1:31" ht="36">
      <c r="A129" s="82">
        <v>763</v>
      </c>
      <c r="B129" s="82">
        <v>206</v>
      </c>
      <c r="C129" s="62" t="s">
        <v>678</v>
      </c>
      <c r="D129" s="52" t="s">
        <v>675</v>
      </c>
      <c r="E129" s="53"/>
      <c r="F129" s="74">
        <v>10</v>
      </c>
      <c r="G129" s="74">
        <v>10</v>
      </c>
      <c r="H129" s="74">
        <v>10</v>
      </c>
      <c r="I129" s="74">
        <v>10</v>
      </c>
      <c r="J129" s="74">
        <v>10</v>
      </c>
      <c r="K129" s="51">
        <v>0</v>
      </c>
      <c r="L129" s="51">
        <v>50</v>
      </c>
      <c r="M129" s="46" t="s">
        <v>200</v>
      </c>
      <c r="N129" s="52" t="s">
        <v>232</v>
      </c>
      <c r="O129" s="36" t="s">
        <v>205</v>
      </c>
      <c r="P129" s="36" t="s">
        <v>205</v>
      </c>
      <c r="Q129" s="36" t="s">
        <v>205</v>
      </c>
      <c r="R129" s="36" t="s">
        <v>205</v>
      </c>
      <c r="S129" s="56" t="s">
        <v>204</v>
      </c>
      <c r="T129" s="36" t="s">
        <v>204</v>
      </c>
      <c r="U129" s="52"/>
      <c r="V129" s="36" t="s">
        <v>244</v>
      </c>
      <c r="W129" s="52" t="s">
        <v>627</v>
      </c>
      <c r="X129" s="47" t="s">
        <v>681</v>
      </c>
      <c r="Y129" s="56"/>
      <c r="Z129" s="69">
        <v>192</v>
      </c>
      <c r="AA129" s="68"/>
      <c r="AB129" s="69"/>
      <c r="AC129" s="68"/>
      <c r="AD129" s="69">
        <v>192</v>
      </c>
      <c r="AE129" s="68"/>
    </row>
    <row r="130" spans="1:31" ht="24">
      <c r="A130" s="82" t="s">
        <v>106</v>
      </c>
      <c r="B130" s="82">
        <v>459</v>
      </c>
      <c r="C130" s="52" t="s">
        <v>411</v>
      </c>
      <c r="D130" s="52" t="s">
        <v>628</v>
      </c>
      <c r="E130" s="53"/>
      <c r="F130" s="74">
        <v>65</v>
      </c>
      <c r="G130" s="74">
        <v>65</v>
      </c>
      <c r="H130" s="74">
        <v>65</v>
      </c>
      <c r="I130" s="74">
        <v>65</v>
      </c>
      <c r="J130" s="74">
        <v>65</v>
      </c>
      <c r="K130" s="51">
        <v>2</v>
      </c>
      <c r="L130" s="51">
        <v>70</v>
      </c>
      <c r="M130" s="46" t="s">
        <v>200</v>
      </c>
      <c r="N130" s="52" t="s">
        <v>353</v>
      </c>
      <c r="O130" s="36" t="s">
        <v>205</v>
      </c>
      <c r="P130" s="36" t="s">
        <v>205</v>
      </c>
      <c r="Q130" s="36" t="s">
        <v>205</v>
      </c>
      <c r="R130" s="36" t="s">
        <v>205</v>
      </c>
      <c r="S130" s="36" t="s">
        <v>204</v>
      </c>
      <c r="T130" s="36" t="s">
        <v>204</v>
      </c>
      <c r="U130" s="52"/>
      <c r="V130" s="36" t="s">
        <v>249</v>
      </c>
      <c r="W130" s="52" t="s">
        <v>629</v>
      </c>
      <c r="X130" s="47" t="s">
        <v>681</v>
      </c>
      <c r="Y130" s="56"/>
      <c r="Z130" s="69">
        <v>193</v>
      </c>
      <c r="AA130" s="68"/>
      <c r="AB130" s="69"/>
      <c r="AC130" s="68"/>
      <c r="AD130" s="69">
        <v>193</v>
      </c>
      <c r="AE130" s="68"/>
    </row>
    <row r="131" spans="1:31" ht="24">
      <c r="A131" s="82" t="s">
        <v>106</v>
      </c>
      <c r="B131" s="82">
        <v>460</v>
      </c>
      <c r="C131" s="52" t="s">
        <v>412</v>
      </c>
      <c r="D131" s="52" t="s">
        <v>630</v>
      </c>
      <c r="E131" s="53"/>
      <c r="F131" s="74">
        <v>65</v>
      </c>
      <c r="G131" s="74">
        <v>65</v>
      </c>
      <c r="H131" s="74">
        <v>65</v>
      </c>
      <c r="I131" s="74">
        <v>65</v>
      </c>
      <c r="J131" s="74">
        <v>65</v>
      </c>
      <c r="K131" s="51">
        <v>2</v>
      </c>
      <c r="L131" s="51">
        <v>70</v>
      </c>
      <c r="M131" s="46" t="s">
        <v>200</v>
      </c>
      <c r="N131" s="52" t="s">
        <v>353</v>
      </c>
      <c r="O131" s="36" t="s">
        <v>205</v>
      </c>
      <c r="P131" s="36" t="s">
        <v>205</v>
      </c>
      <c r="Q131" s="36" t="s">
        <v>205</v>
      </c>
      <c r="R131" s="36" t="s">
        <v>205</v>
      </c>
      <c r="S131" s="36" t="s">
        <v>204</v>
      </c>
      <c r="T131" s="36" t="s">
        <v>204</v>
      </c>
      <c r="U131" s="52"/>
      <c r="V131" s="36" t="s">
        <v>249</v>
      </c>
      <c r="W131" s="52" t="s">
        <v>631</v>
      </c>
      <c r="X131" s="47" t="s">
        <v>681</v>
      </c>
      <c r="Y131" s="56"/>
      <c r="Z131" s="69">
        <v>194</v>
      </c>
      <c r="AA131" s="68"/>
      <c r="AB131" s="69"/>
      <c r="AC131" s="68"/>
      <c r="AD131" s="69">
        <v>194</v>
      </c>
      <c r="AE131" s="68"/>
    </row>
    <row r="132" spans="1:31" ht="24">
      <c r="A132" s="82" t="s">
        <v>106</v>
      </c>
      <c r="B132" s="82">
        <v>461</v>
      </c>
      <c r="C132" s="52" t="s">
        <v>413</v>
      </c>
      <c r="D132" s="52" t="s">
        <v>632</v>
      </c>
      <c r="E132" s="53"/>
      <c r="F132" s="74">
        <v>80</v>
      </c>
      <c r="G132" s="74">
        <v>80</v>
      </c>
      <c r="H132" s="74">
        <v>80</v>
      </c>
      <c r="I132" s="74">
        <v>80</v>
      </c>
      <c r="J132" s="74">
        <v>80</v>
      </c>
      <c r="K132" s="51">
        <v>50</v>
      </c>
      <c r="L132" s="51">
        <v>80</v>
      </c>
      <c r="M132" s="46" t="s">
        <v>200</v>
      </c>
      <c r="N132" s="52" t="s">
        <v>414</v>
      </c>
      <c r="O132" s="36" t="s">
        <v>205</v>
      </c>
      <c r="P132" s="36" t="s">
        <v>205</v>
      </c>
      <c r="Q132" s="36" t="s">
        <v>205</v>
      </c>
      <c r="R132" s="36" t="s">
        <v>205</v>
      </c>
      <c r="S132" s="36" t="s">
        <v>204</v>
      </c>
      <c r="T132" s="36" t="s">
        <v>204</v>
      </c>
      <c r="U132" s="52"/>
      <c r="V132" s="36" t="s">
        <v>249</v>
      </c>
      <c r="W132" s="52" t="s">
        <v>633</v>
      </c>
      <c r="X132" s="47" t="s">
        <v>681</v>
      </c>
      <c r="Y132" s="56"/>
      <c r="Z132" s="69">
        <v>195</v>
      </c>
      <c r="AA132" s="68"/>
      <c r="AB132" s="69"/>
      <c r="AC132" s="68"/>
      <c r="AD132" s="69">
        <v>195</v>
      </c>
      <c r="AE132" s="68"/>
    </row>
    <row r="133" spans="1:31" ht="27.75" customHeight="1">
      <c r="A133" s="82">
        <v>763</v>
      </c>
      <c r="B133" s="82">
        <v>207</v>
      </c>
      <c r="C133" s="62" t="s">
        <v>634</v>
      </c>
      <c r="D133" s="52" t="s">
        <v>635</v>
      </c>
      <c r="E133" s="53"/>
      <c r="F133" s="51">
        <v>60</v>
      </c>
      <c r="G133" s="51">
        <v>60</v>
      </c>
      <c r="H133" s="51">
        <v>60</v>
      </c>
      <c r="I133" s="51">
        <v>60</v>
      </c>
      <c r="J133" s="51">
        <v>60</v>
      </c>
      <c r="K133" s="51">
        <v>0</v>
      </c>
      <c r="L133" s="51">
        <v>250</v>
      </c>
      <c r="M133" s="46" t="s">
        <v>200</v>
      </c>
      <c r="N133" s="52" t="s">
        <v>232</v>
      </c>
      <c r="O133" s="36" t="s">
        <v>205</v>
      </c>
      <c r="P133" s="36" t="s">
        <v>205</v>
      </c>
      <c r="Q133" s="36" t="s">
        <v>205</v>
      </c>
      <c r="R133" s="36" t="s">
        <v>205</v>
      </c>
      <c r="S133" s="56" t="s">
        <v>204</v>
      </c>
      <c r="T133" s="36" t="s">
        <v>204</v>
      </c>
      <c r="U133" s="52"/>
      <c r="V133" s="36" t="s">
        <v>244</v>
      </c>
      <c r="W133" s="52" t="s">
        <v>636</v>
      </c>
      <c r="X133" s="47" t="s">
        <v>681</v>
      </c>
      <c r="Y133" s="56"/>
      <c r="Z133" s="69">
        <v>196</v>
      </c>
      <c r="AA133" s="68"/>
      <c r="AB133" s="69"/>
      <c r="AC133" s="68"/>
      <c r="AD133" s="69">
        <v>196</v>
      </c>
      <c r="AE133" s="68"/>
    </row>
    <row r="134" spans="1:31" ht="30.75" customHeight="1">
      <c r="A134" s="82">
        <v>763</v>
      </c>
      <c r="B134" s="82">
        <v>208</v>
      </c>
      <c r="C134" s="62" t="s">
        <v>637</v>
      </c>
      <c r="D134" s="52" t="s">
        <v>638</v>
      </c>
      <c r="E134" s="53"/>
      <c r="F134" s="51">
        <v>60</v>
      </c>
      <c r="G134" s="51">
        <v>60</v>
      </c>
      <c r="H134" s="51">
        <v>60</v>
      </c>
      <c r="I134" s="51">
        <v>60</v>
      </c>
      <c r="J134" s="51">
        <v>60</v>
      </c>
      <c r="K134" s="51">
        <v>0</v>
      </c>
      <c r="L134" s="51">
        <v>250</v>
      </c>
      <c r="M134" s="46" t="s">
        <v>200</v>
      </c>
      <c r="N134" s="52" t="s">
        <v>232</v>
      </c>
      <c r="O134" s="36" t="s">
        <v>205</v>
      </c>
      <c r="P134" s="36" t="s">
        <v>205</v>
      </c>
      <c r="Q134" s="36" t="s">
        <v>205</v>
      </c>
      <c r="R134" s="36" t="s">
        <v>205</v>
      </c>
      <c r="S134" s="56" t="s">
        <v>204</v>
      </c>
      <c r="T134" s="36" t="s">
        <v>204</v>
      </c>
      <c r="U134" s="52"/>
      <c r="V134" s="36" t="s">
        <v>244</v>
      </c>
      <c r="W134" s="52" t="s">
        <v>639</v>
      </c>
      <c r="X134" s="47" t="s">
        <v>681</v>
      </c>
      <c r="Y134" s="56"/>
      <c r="Z134" s="69">
        <v>197</v>
      </c>
      <c r="AA134" s="68"/>
      <c r="AB134" s="69"/>
      <c r="AC134" s="68"/>
      <c r="AD134" s="69">
        <v>197</v>
      </c>
      <c r="AE134" s="68"/>
    </row>
    <row r="135" spans="1:31" ht="24">
      <c r="A135" s="82">
        <v>763</v>
      </c>
      <c r="B135" s="82">
        <v>385</v>
      </c>
      <c r="C135" s="52" t="s">
        <v>640</v>
      </c>
      <c r="D135" s="52" t="s">
        <v>641</v>
      </c>
      <c r="E135" s="53"/>
      <c r="F135" s="74">
        <v>0</v>
      </c>
      <c r="G135" s="51">
        <v>0</v>
      </c>
      <c r="H135" s="51">
        <v>0</v>
      </c>
      <c r="I135" s="51">
        <v>0</v>
      </c>
      <c r="J135" s="51">
        <v>0</v>
      </c>
      <c r="K135" s="51">
        <v>0</v>
      </c>
      <c r="L135" s="51">
        <v>90000</v>
      </c>
      <c r="M135" s="46" t="s">
        <v>202</v>
      </c>
      <c r="N135" s="52" t="s">
        <v>214</v>
      </c>
      <c r="O135" s="36" t="s">
        <v>204</v>
      </c>
      <c r="P135" s="36" t="s">
        <v>204</v>
      </c>
      <c r="Q135" s="36" t="s">
        <v>204</v>
      </c>
      <c r="R135" s="36" t="s">
        <v>205</v>
      </c>
      <c r="S135" s="56" t="s">
        <v>204</v>
      </c>
      <c r="T135" s="36" t="s">
        <v>204</v>
      </c>
      <c r="U135" s="52"/>
      <c r="V135" s="36" t="s">
        <v>246</v>
      </c>
      <c r="W135" s="52" t="s">
        <v>642</v>
      </c>
      <c r="X135" s="47" t="s">
        <v>681</v>
      </c>
      <c r="Y135" s="56"/>
      <c r="Z135" s="69">
        <v>200</v>
      </c>
      <c r="AA135" s="68"/>
      <c r="AB135" s="69"/>
      <c r="AC135" s="68"/>
      <c r="AD135" s="69">
        <v>198</v>
      </c>
      <c r="AE135" s="68"/>
    </row>
    <row r="136" spans="1:31" ht="36">
      <c r="A136" s="82" t="s">
        <v>106</v>
      </c>
      <c r="B136" s="82">
        <v>209</v>
      </c>
      <c r="C136" s="62" t="s">
        <v>423</v>
      </c>
      <c r="D136" s="52" t="s">
        <v>643</v>
      </c>
      <c r="E136" s="53"/>
      <c r="F136" s="91">
        <v>500</v>
      </c>
      <c r="G136" s="91">
        <v>500</v>
      </c>
      <c r="H136" s="91">
        <v>500</v>
      </c>
      <c r="I136" s="91">
        <v>500</v>
      </c>
      <c r="J136" s="91">
        <v>500</v>
      </c>
      <c r="K136" s="51">
        <v>400</v>
      </c>
      <c r="L136" s="91">
        <v>850</v>
      </c>
      <c r="M136" s="46" t="s">
        <v>201</v>
      </c>
      <c r="N136" s="52" t="s">
        <v>314</v>
      </c>
      <c r="O136" s="36" t="s">
        <v>205</v>
      </c>
      <c r="P136" s="36" t="s">
        <v>205</v>
      </c>
      <c r="Q136" s="36" t="s">
        <v>205</v>
      </c>
      <c r="R136" s="36" t="s">
        <v>205</v>
      </c>
      <c r="S136" s="56" t="s">
        <v>204</v>
      </c>
      <c r="T136" s="36" t="s">
        <v>204</v>
      </c>
      <c r="U136" s="52"/>
      <c r="V136" s="36" t="s">
        <v>244</v>
      </c>
      <c r="W136" s="52" t="s">
        <v>644</v>
      </c>
      <c r="X136" s="47" t="s">
        <v>681</v>
      </c>
      <c r="Y136" s="56"/>
      <c r="Z136" s="69">
        <v>204</v>
      </c>
      <c r="AA136" s="68"/>
      <c r="AB136" s="69"/>
      <c r="AC136" s="68"/>
      <c r="AD136" s="69">
        <v>202</v>
      </c>
      <c r="AE136" s="68"/>
    </row>
    <row r="137" spans="1:31" ht="36">
      <c r="A137" s="82" t="s">
        <v>106</v>
      </c>
      <c r="B137" s="82">
        <v>210</v>
      </c>
      <c r="C137" s="62" t="s">
        <v>661</v>
      </c>
      <c r="D137" s="52" t="s">
        <v>645</v>
      </c>
      <c r="E137" s="53"/>
      <c r="F137" s="91">
        <v>600</v>
      </c>
      <c r="G137" s="91">
        <v>600</v>
      </c>
      <c r="H137" s="91">
        <v>600</v>
      </c>
      <c r="I137" s="91">
        <v>600</v>
      </c>
      <c r="J137" s="91">
        <v>600</v>
      </c>
      <c r="K137" s="51">
        <v>400</v>
      </c>
      <c r="L137" s="91">
        <v>850</v>
      </c>
      <c r="M137" s="46" t="s">
        <v>201</v>
      </c>
      <c r="N137" s="52" t="s">
        <v>314</v>
      </c>
      <c r="O137" s="36" t="s">
        <v>205</v>
      </c>
      <c r="P137" s="36" t="s">
        <v>205</v>
      </c>
      <c r="Q137" s="36" t="s">
        <v>205</v>
      </c>
      <c r="R137" s="36" t="s">
        <v>205</v>
      </c>
      <c r="S137" s="56" t="s">
        <v>204</v>
      </c>
      <c r="T137" s="36" t="s">
        <v>204</v>
      </c>
      <c r="U137" s="52"/>
      <c r="V137" s="36" t="s">
        <v>244</v>
      </c>
      <c r="W137" s="52" t="s">
        <v>646</v>
      </c>
      <c r="X137" s="47" t="s">
        <v>681</v>
      </c>
      <c r="Y137" s="56"/>
      <c r="Z137" s="69">
        <v>206</v>
      </c>
      <c r="AA137" s="68"/>
      <c r="AB137" s="69"/>
      <c r="AC137" s="68"/>
      <c r="AD137" s="69">
        <v>204</v>
      </c>
      <c r="AE137" s="68"/>
    </row>
    <row r="138" spans="1:31" ht="24">
      <c r="A138" s="82" t="s">
        <v>106</v>
      </c>
      <c r="B138" s="82">
        <v>462</v>
      </c>
      <c r="C138" s="52" t="s">
        <v>416</v>
      </c>
      <c r="D138" s="52" t="s">
        <v>647</v>
      </c>
      <c r="E138" s="53"/>
      <c r="F138" s="91">
        <v>2</v>
      </c>
      <c r="G138" s="91">
        <v>2</v>
      </c>
      <c r="H138" s="91">
        <v>2</v>
      </c>
      <c r="I138" s="91">
        <v>2</v>
      </c>
      <c r="J138" s="91">
        <v>2</v>
      </c>
      <c r="K138" s="51">
        <v>1</v>
      </c>
      <c r="L138" s="91">
        <v>3</v>
      </c>
      <c r="M138" s="46" t="s">
        <v>200</v>
      </c>
      <c r="N138" s="52" t="s">
        <v>648</v>
      </c>
      <c r="O138" s="36" t="s">
        <v>205</v>
      </c>
      <c r="P138" s="36" t="s">
        <v>205</v>
      </c>
      <c r="Q138" s="36" t="s">
        <v>205</v>
      </c>
      <c r="R138" s="36" t="s">
        <v>205</v>
      </c>
      <c r="S138" s="56" t="s">
        <v>204</v>
      </c>
      <c r="T138" s="36" t="s">
        <v>204</v>
      </c>
      <c r="U138" s="52"/>
      <c r="V138" s="36" t="s">
        <v>649</v>
      </c>
      <c r="W138" s="52" t="s">
        <v>650</v>
      </c>
      <c r="X138" s="47" t="s">
        <v>681</v>
      </c>
      <c r="Y138" s="56"/>
      <c r="Z138" s="69">
        <v>198</v>
      </c>
      <c r="AA138" s="68"/>
      <c r="AB138" s="69"/>
      <c r="AC138" s="68"/>
      <c r="AD138" s="69">
        <v>206</v>
      </c>
      <c r="AE138" s="68"/>
    </row>
    <row r="139" spans="1:31" ht="24">
      <c r="A139" s="82" t="s">
        <v>106</v>
      </c>
      <c r="B139" s="82">
        <v>463</v>
      </c>
      <c r="C139" s="52" t="s">
        <v>417</v>
      </c>
      <c r="D139" s="52" t="s">
        <v>651</v>
      </c>
      <c r="E139" s="53"/>
      <c r="F139" s="74">
        <v>2</v>
      </c>
      <c r="G139" s="74">
        <v>2</v>
      </c>
      <c r="H139" s="74">
        <v>2</v>
      </c>
      <c r="I139" s="74">
        <v>2</v>
      </c>
      <c r="J139" s="74">
        <v>2</v>
      </c>
      <c r="K139" s="51">
        <v>1</v>
      </c>
      <c r="L139" s="51">
        <v>75</v>
      </c>
      <c r="M139" s="46" t="s">
        <v>200</v>
      </c>
      <c r="N139" s="52" t="s">
        <v>229</v>
      </c>
      <c r="O139" s="36" t="s">
        <v>205</v>
      </c>
      <c r="P139" s="36" t="s">
        <v>205</v>
      </c>
      <c r="Q139" s="36" t="s">
        <v>205</v>
      </c>
      <c r="R139" s="36" t="s">
        <v>205</v>
      </c>
      <c r="S139" s="56" t="s">
        <v>204</v>
      </c>
      <c r="T139" s="36" t="s">
        <v>204</v>
      </c>
      <c r="U139" s="52"/>
      <c r="V139" s="36" t="s">
        <v>649</v>
      </c>
      <c r="W139" s="52" t="s">
        <v>652</v>
      </c>
      <c r="X139" s="47" t="s">
        <v>681</v>
      </c>
      <c r="Y139" s="56"/>
      <c r="Z139" s="69">
        <v>199</v>
      </c>
      <c r="AA139" s="68"/>
      <c r="AB139" s="69"/>
      <c r="AC139" s="68"/>
      <c r="AD139" s="69">
        <v>207</v>
      </c>
      <c r="AE139" s="68"/>
    </row>
    <row r="140" spans="1:31" ht="36">
      <c r="A140" s="110" t="s">
        <v>106</v>
      </c>
      <c r="B140" s="110">
        <v>464</v>
      </c>
      <c r="C140" s="111" t="s">
        <v>418</v>
      </c>
      <c r="D140" s="111" t="s">
        <v>722</v>
      </c>
      <c r="E140" s="63"/>
      <c r="F140" s="112">
        <v>0</v>
      </c>
      <c r="G140" s="110">
        <v>0</v>
      </c>
      <c r="H140" s="110">
        <v>0</v>
      </c>
      <c r="I140" s="110">
        <v>0</v>
      </c>
      <c r="J140" s="110">
        <v>0</v>
      </c>
      <c r="K140" s="110">
        <v>-10</v>
      </c>
      <c r="L140" s="110">
        <v>10</v>
      </c>
      <c r="M140" s="113" t="s">
        <v>203</v>
      </c>
      <c r="N140" s="111" t="s">
        <v>419</v>
      </c>
      <c r="O140" s="36" t="s">
        <v>205</v>
      </c>
      <c r="P140" s="36" t="s">
        <v>205</v>
      </c>
      <c r="Q140" s="36" t="s">
        <v>205</v>
      </c>
      <c r="R140" s="36" t="s">
        <v>205</v>
      </c>
      <c r="S140" s="56" t="s">
        <v>204</v>
      </c>
      <c r="T140" s="36" t="s">
        <v>204</v>
      </c>
      <c r="U140" s="52"/>
      <c r="V140" s="36" t="s">
        <v>653</v>
      </c>
      <c r="W140" s="52" t="s">
        <v>654</v>
      </c>
      <c r="X140" s="47" t="s">
        <v>681</v>
      </c>
      <c r="Y140" s="56"/>
      <c r="Z140" s="69">
        <v>208</v>
      </c>
      <c r="AA140" s="68"/>
      <c r="AB140" s="69"/>
      <c r="AC140" s="68"/>
      <c r="AD140" s="69">
        <v>208</v>
      </c>
      <c r="AE140" s="68"/>
    </row>
    <row r="141" spans="1:31" ht="60">
      <c r="A141" s="82">
        <v>763</v>
      </c>
      <c r="B141" s="82">
        <v>465</v>
      </c>
      <c r="C141" s="52" t="s">
        <v>655</v>
      </c>
      <c r="D141" s="49" t="s">
        <v>656</v>
      </c>
      <c r="E141" s="53"/>
      <c r="F141" s="51">
        <v>-200</v>
      </c>
      <c r="G141" s="51">
        <v>-200</v>
      </c>
      <c r="H141" s="51">
        <v>-200</v>
      </c>
      <c r="I141" s="51">
        <v>-200</v>
      </c>
      <c r="J141" s="51">
        <v>-200</v>
      </c>
      <c r="K141" s="51">
        <v>-200</v>
      </c>
      <c r="L141" s="51">
        <v>200</v>
      </c>
      <c r="M141" s="46" t="s">
        <v>362</v>
      </c>
      <c r="N141" s="52" t="s">
        <v>422</v>
      </c>
      <c r="O141" s="36" t="s">
        <v>205</v>
      </c>
      <c r="P141" s="36" t="s">
        <v>205</v>
      </c>
      <c r="Q141" s="36" t="s">
        <v>205</v>
      </c>
      <c r="R141" s="36" t="s">
        <v>205</v>
      </c>
      <c r="S141" s="56" t="s">
        <v>204</v>
      </c>
      <c r="T141" s="36" t="s">
        <v>204</v>
      </c>
      <c r="U141" s="52"/>
      <c r="V141" s="36" t="s">
        <v>242</v>
      </c>
      <c r="W141" s="49" t="s">
        <v>657</v>
      </c>
      <c r="X141" s="47" t="s">
        <v>681</v>
      </c>
      <c r="Y141" s="68"/>
      <c r="Z141" s="69">
        <v>212</v>
      </c>
      <c r="AA141" s="68"/>
      <c r="AB141" s="68"/>
      <c r="AC141" s="68"/>
      <c r="AD141" s="69">
        <v>209</v>
      </c>
      <c r="AE141" s="68"/>
    </row>
    <row r="142" spans="1:31" ht="36">
      <c r="A142" s="82" t="s">
        <v>106</v>
      </c>
      <c r="B142" s="82">
        <v>466</v>
      </c>
      <c r="C142" s="62" t="s">
        <v>658</v>
      </c>
      <c r="D142" s="52" t="s">
        <v>659</v>
      </c>
      <c r="E142" s="53"/>
      <c r="F142" s="91">
        <v>700</v>
      </c>
      <c r="G142" s="91">
        <v>700</v>
      </c>
      <c r="H142" s="91">
        <v>700</v>
      </c>
      <c r="I142" s="91">
        <v>700</v>
      </c>
      <c r="J142" s="91">
        <v>700</v>
      </c>
      <c r="K142" s="51">
        <v>400</v>
      </c>
      <c r="L142" s="91">
        <v>850</v>
      </c>
      <c r="M142" s="46" t="s">
        <v>201</v>
      </c>
      <c r="N142" s="52" t="s">
        <v>314</v>
      </c>
      <c r="O142" s="36" t="s">
        <v>205</v>
      </c>
      <c r="P142" s="36" t="s">
        <v>205</v>
      </c>
      <c r="Q142" s="36" t="s">
        <v>205</v>
      </c>
      <c r="R142" s="36" t="s">
        <v>205</v>
      </c>
      <c r="S142" s="56" t="s">
        <v>204</v>
      </c>
      <c r="T142" s="36" t="s">
        <v>204</v>
      </c>
      <c r="U142" s="52"/>
      <c r="V142" s="36" t="s">
        <v>244</v>
      </c>
      <c r="W142" s="52" t="s">
        <v>660</v>
      </c>
      <c r="X142" s="47" t="s">
        <v>681</v>
      </c>
      <c r="Y142" s="56"/>
      <c r="Z142" s="69">
        <v>214</v>
      </c>
      <c r="AA142" s="68"/>
      <c r="AB142" s="69"/>
      <c r="AC142" s="68"/>
      <c r="AD142" s="69">
        <v>211</v>
      </c>
      <c r="AE142" s="68"/>
    </row>
    <row r="143" spans="1:31" ht="36">
      <c r="A143" s="82">
        <v>763</v>
      </c>
      <c r="B143" s="82">
        <v>467</v>
      </c>
      <c r="C143" s="62" t="s">
        <v>663</v>
      </c>
      <c r="D143" s="52" t="s">
        <v>664</v>
      </c>
      <c r="E143" s="53"/>
      <c r="F143" s="74">
        <v>10</v>
      </c>
      <c r="G143" s="74">
        <v>10</v>
      </c>
      <c r="H143" s="74">
        <v>10</v>
      </c>
      <c r="I143" s="74">
        <v>10</v>
      </c>
      <c r="J143" s="74">
        <v>10</v>
      </c>
      <c r="K143" s="51">
        <v>0</v>
      </c>
      <c r="L143" s="51">
        <v>50</v>
      </c>
      <c r="M143" s="46" t="s">
        <v>200</v>
      </c>
      <c r="N143" s="52" t="s">
        <v>232</v>
      </c>
      <c r="O143" s="36" t="s">
        <v>205</v>
      </c>
      <c r="P143" s="36" t="s">
        <v>205</v>
      </c>
      <c r="Q143" s="36" t="s">
        <v>205</v>
      </c>
      <c r="R143" s="36" t="s">
        <v>205</v>
      </c>
      <c r="S143" s="56" t="s">
        <v>204</v>
      </c>
      <c r="T143" s="36" t="s">
        <v>204</v>
      </c>
      <c r="U143" s="52"/>
      <c r="V143" s="36" t="s">
        <v>244</v>
      </c>
      <c r="W143" s="52" t="s">
        <v>665</v>
      </c>
      <c r="X143" s="47" t="s">
        <v>681</v>
      </c>
      <c r="Y143" s="56"/>
      <c r="Z143" s="69">
        <v>209</v>
      </c>
      <c r="AA143" s="68"/>
      <c r="AB143" s="69"/>
      <c r="AC143" s="68"/>
      <c r="AD143" s="69">
        <v>213</v>
      </c>
      <c r="AE143" s="68"/>
    </row>
    <row r="144" spans="1:31" ht="36">
      <c r="A144" s="82">
        <v>763</v>
      </c>
      <c r="B144" s="82">
        <v>468</v>
      </c>
      <c r="C144" s="62" t="s">
        <v>666</v>
      </c>
      <c r="D144" s="52" t="s">
        <v>667</v>
      </c>
      <c r="E144" s="53"/>
      <c r="F144" s="74">
        <v>10</v>
      </c>
      <c r="G144" s="74">
        <v>10</v>
      </c>
      <c r="H144" s="74">
        <v>10</v>
      </c>
      <c r="I144" s="74">
        <v>10</v>
      </c>
      <c r="J144" s="74">
        <v>10</v>
      </c>
      <c r="K144" s="74">
        <v>0</v>
      </c>
      <c r="L144" s="51">
        <v>50</v>
      </c>
      <c r="M144" s="46" t="s">
        <v>200</v>
      </c>
      <c r="N144" s="52" t="s">
        <v>232</v>
      </c>
      <c r="O144" s="36" t="s">
        <v>205</v>
      </c>
      <c r="P144" s="36" t="s">
        <v>205</v>
      </c>
      <c r="Q144" s="36" t="s">
        <v>205</v>
      </c>
      <c r="R144" s="36" t="s">
        <v>205</v>
      </c>
      <c r="S144" s="56" t="s">
        <v>204</v>
      </c>
      <c r="T144" s="36" t="s">
        <v>204</v>
      </c>
      <c r="U144" s="52"/>
      <c r="V144" s="36" t="s">
        <v>244</v>
      </c>
      <c r="W144" s="52" t="s">
        <v>668</v>
      </c>
      <c r="X144" s="47" t="s">
        <v>681</v>
      </c>
      <c r="Y144" s="56"/>
      <c r="Z144" s="69">
        <v>210</v>
      </c>
      <c r="AA144" s="68"/>
      <c r="AB144" s="69"/>
      <c r="AC144" s="68"/>
      <c r="AD144" s="69">
        <v>214</v>
      </c>
      <c r="AE144" s="68"/>
    </row>
    <row r="145" spans="1:31" ht="36">
      <c r="A145" s="82">
        <v>763</v>
      </c>
      <c r="B145" s="82">
        <v>469</v>
      </c>
      <c r="C145" s="62" t="s">
        <v>669</v>
      </c>
      <c r="D145" s="52" t="s">
        <v>670</v>
      </c>
      <c r="E145" s="53"/>
      <c r="F145" s="51">
        <v>60</v>
      </c>
      <c r="G145" s="51">
        <v>60</v>
      </c>
      <c r="H145" s="51">
        <v>60</v>
      </c>
      <c r="I145" s="51">
        <v>60</v>
      </c>
      <c r="J145" s="51">
        <v>60</v>
      </c>
      <c r="K145" s="51">
        <v>0</v>
      </c>
      <c r="L145" s="51">
        <v>250</v>
      </c>
      <c r="M145" s="46" t="s">
        <v>200</v>
      </c>
      <c r="N145" s="52" t="s">
        <v>232</v>
      </c>
      <c r="O145" s="36" t="s">
        <v>205</v>
      </c>
      <c r="P145" s="36" t="s">
        <v>205</v>
      </c>
      <c r="Q145" s="36" t="s">
        <v>205</v>
      </c>
      <c r="R145" s="36" t="s">
        <v>205</v>
      </c>
      <c r="S145" s="56" t="s">
        <v>204</v>
      </c>
      <c r="T145" s="36" t="s">
        <v>204</v>
      </c>
      <c r="U145" s="52"/>
      <c r="V145" s="36" t="s">
        <v>244</v>
      </c>
      <c r="W145" s="52" t="s">
        <v>671</v>
      </c>
      <c r="X145" s="47" t="s">
        <v>681</v>
      </c>
      <c r="Y145" s="56"/>
      <c r="Z145" s="69">
        <v>211</v>
      </c>
      <c r="AA145" s="68"/>
      <c r="AB145" s="69"/>
      <c r="AC145" s="68"/>
      <c r="AD145" s="69">
        <v>215</v>
      </c>
      <c r="AE145" s="68"/>
    </row>
    <row r="146" spans="1:31" ht="36">
      <c r="A146" s="82">
        <v>763</v>
      </c>
      <c r="B146" s="82">
        <v>470</v>
      </c>
      <c r="C146" s="62" t="s">
        <v>672</v>
      </c>
      <c r="D146" s="52" t="s">
        <v>673</v>
      </c>
      <c r="E146" s="53"/>
      <c r="F146" s="51">
        <v>60</v>
      </c>
      <c r="G146" s="51">
        <v>60</v>
      </c>
      <c r="H146" s="51">
        <v>60</v>
      </c>
      <c r="I146" s="51">
        <v>60</v>
      </c>
      <c r="J146" s="51">
        <v>60</v>
      </c>
      <c r="K146" s="51">
        <v>0</v>
      </c>
      <c r="L146" s="51">
        <v>250</v>
      </c>
      <c r="M146" s="46" t="s">
        <v>200</v>
      </c>
      <c r="N146" s="52" t="s">
        <v>232</v>
      </c>
      <c r="O146" s="36" t="s">
        <v>205</v>
      </c>
      <c r="P146" s="36" t="s">
        <v>205</v>
      </c>
      <c r="Q146" s="36" t="s">
        <v>205</v>
      </c>
      <c r="R146" s="36" t="s">
        <v>205</v>
      </c>
      <c r="S146" s="56" t="s">
        <v>204</v>
      </c>
      <c r="T146" s="36" t="s">
        <v>204</v>
      </c>
      <c r="U146" s="52"/>
      <c r="V146" s="36" t="s">
        <v>244</v>
      </c>
      <c r="W146" s="52" t="s">
        <v>691</v>
      </c>
      <c r="X146" s="47" t="s">
        <v>681</v>
      </c>
      <c r="Y146" s="56"/>
      <c r="Z146" s="69">
        <v>216</v>
      </c>
      <c r="AA146" s="68"/>
      <c r="AB146" s="69"/>
      <c r="AC146" s="68"/>
      <c r="AD146" s="69">
        <v>216</v>
      </c>
      <c r="AE146" s="68"/>
    </row>
    <row r="147" spans="1:31" ht="24">
      <c r="A147" s="82">
        <v>763</v>
      </c>
      <c r="B147" s="96">
        <v>471</v>
      </c>
      <c r="C147" s="97" t="s">
        <v>686</v>
      </c>
      <c r="D147" s="95" t="s">
        <v>689</v>
      </c>
      <c r="E147" s="98"/>
      <c r="F147" s="93">
        <v>3</v>
      </c>
      <c r="G147" s="93">
        <v>3</v>
      </c>
      <c r="H147" s="93">
        <v>3</v>
      </c>
      <c r="I147" s="93">
        <v>3</v>
      </c>
      <c r="J147" s="93">
        <v>3</v>
      </c>
      <c r="K147" s="93">
        <v>0</v>
      </c>
      <c r="L147" s="93">
        <v>100</v>
      </c>
      <c r="M147" s="99" t="s">
        <v>200</v>
      </c>
      <c r="N147" s="52" t="s">
        <v>721</v>
      </c>
      <c r="O147" s="36" t="s">
        <v>205</v>
      </c>
      <c r="P147" s="36" t="s">
        <v>205</v>
      </c>
      <c r="Q147" s="36" t="s">
        <v>205</v>
      </c>
      <c r="R147" s="36" t="s">
        <v>205</v>
      </c>
      <c r="S147" s="56" t="s">
        <v>204</v>
      </c>
      <c r="T147" s="36" t="s">
        <v>204</v>
      </c>
      <c r="U147" s="52"/>
      <c r="V147" s="36" t="s">
        <v>690</v>
      </c>
      <c r="W147" s="52" t="s">
        <v>692</v>
      </c>
      <c r="X147" s="102" t="s">
        <v>726</v>
      </c>
      <c r="Y147" s="56"/>
      <c r="Z147" s="69">
        <v>217</v>
      </c>
      <c r="AA147" s="68"/>
      <c r="AB147" s="69"/>
      <c r="AC147" s="68"/>
      <c r="AD147" s="69">
        <v>217</v>
      </c>
      <c r="AE147" s="68"/>
    </row>
    <row r="148" spans="1:31" ht="24">
      <c r="A148" s="82">
        <v>763</v>
      </c>
      <c r="B148" s="96">
        <v>472</v>
      </c>
      <c r="C148" s="97" t="s">
        <v>687</v>
      </c>
      <c r="D148" s="95" t="s">
        <v>688</v>
      </c>
      <c r="E148" s="98"/>
      <c r="F148" s="93">
        <v>3</v>
      </c>
      <c r="G148" s="93">
        <v>3</v>
      </c>
      <c r="H148" s="93">
        <v>3</v>
      </c>
      <c r="I148" s="93">
        <v>3</v>
      </c>
      <c r="J148" s="93">
        <v>3</v>
      </c>
      <c r="K148" s="93">
        <v>0</v>
      </c>
      <c r="L148" s="93">
        <v>10</v>
      </c>
      <c r="M148" s="99" t="s">
        <v>200</v>
      </c>
      <c r="N148" s="52" t="s">
        <v>214</v>
      </c>
      <c r="O148" s="36" t="s">
        <v>205</v>
      </c>
      <c r="P148" s="36" t="s">
        <v>205</v>
      </c>
      <c r="Q148" s="36" t="s">
        <v>205</v>
      </c>
      <c r="R148" s="36" t="s">
        <v>205</v>
      </c>
      <c r="S148" s="56" t="s">
        <v>204</v>
      </c>
      <c r="T148" s="36" t="s">
        <v>204</v>
      </c>
      <c r="U148" s="52"/>
      <c r="V148" s="36" t="s">
        <v>690</v>
      </c>
      <c r="W148" s="52" t="s">
        <v>695</v>
      </c>
      <c r="X148" s="102" t="s">
        <v>726</v>
      </c>
      <c r="Y148" s="56"/>
      <c r="Z148" s="69">
        <v>218</v>
      </c>
      <c r="AA148" s="68"/>
      <c r="AB148" s="69"/>
      <c r="AC148" s="68"/>
      <c r="AD148" s="69">
        <v>218</v>
      </c>
      <c r="AE148" s="68"/>
    </row>
    <row r="149" spans="1:31" ht="24">
      <c r="A149" s="82">
        <v>763</v>
      </c>
      <c r="B149" s="96">
        <v>473</v>
      </c>
      <c r="C149" s="97" t="s">
        <v>715</v>
      </c>
      <c r="D149" s="95" t="s">
        <v>693</v>
      </c>
      <c r="E149" s="98"/>
      <c r="F149" s="93">
        <v>21</v>
      </c>
      <c r="G149" s="93">
        <v>21</v>
      </c>
      <c r="H149" s="93">
        <v>21</v>
      </c>
      <c r="I149" s="93">
        <v>21</v>
      </c>
      <c r="J149" s="93">
        <v>21</v>
      </c>
      <c r="K149" s="93">
        <v>0</v>
      </c>
      <c r="L149" s="93">
        <v>75</v>
      </c>
      <c r="M149" s="99" t="s">
        <v>200</v>
      </c>
      <c r="N149" s="52" t="s">
        <v>694</v>
      </c>
      <c r="O149" s="36" t="s">
        <v>205</v>
      </c>
      <c r="P149" s="36" t="s">
        <v>205</v>
      </c>
      <c r="Q149" s="36" t="s">
        <v>205</v>
      </c>
      <c r="R149" s="36" t="s">
        <v>205</v>
      </c>
      <c r="S149" s="56" t="s">
        <v>204</v>
      </c>
      <c r="T149" s="36" t="s">
        <v>204</v>
      </c>
      <c r="U149" s="52"/>
      <c r="V149" s="36" t="s">
        <v>690</v>
      </c>
      <c r="W149" s="52" t="s">
        <v>696</v>
      </c>
      <c r="X149" s="102" t="s">
        <v>724</v>
      </c>
      <c r="Y149" s="56"/>
      <c r="Z149" s="69">
        <v>219</v>
      </c>
      <c r="AA149" s="68"/>
      <c r="AB149" s="69"/>
      <c r="AC149" s="68"/>
      <c r="AD149" s="69">
        <v>219</v>
      </c>
      <c r="AE149" s="68"/>
    </row>
    <row r="150" spans="1:31" ht="22.5">
      <c r="A150" s="82">
        <v>763</v>
      </c>
      <c r="B150" s="96">
        <v>474</v>
      </c>
      <c r="C150" s="97" t="s">
        <v>719</v>
      </c>
      <c r="D150" s="95" t="s">
        <v>697</v>
      </c>
      <c r="E150" s="98"/>
      <c r="F150" s="93">
        <v>3</v>
      </c>
      <c r="G150" s="93">
        <v>3</v>
      </c>
      <c r="H150" s="93">
        <v>3</v>
      </c>
      <c r="I150" s="93">
        <v>3</v>
      </c>
      <c r="J150" s="93">
        <v>3</v>
      </c>
      <c r="K150" s="93">
        <v>-10</v>
      </c>
      <c r="L150" s="93">
        <v>10</v>
      </c>
      <c r="M150" s="99" t="s">
        <v>203</v>
      </c>
      <c r="N150" s="52" t="s">
        <v>706</v>
      </c>
      <c r="O150" s="36" t="s">
        <v>205</v>
      </c>
      <c r="P150" s="36" t="s">
        <v>205</v>
      </c>
      <c r="Q150" s="36" t="s">
        <v>205</v>
      </c>
      <c r="R150" s="36" t="s">
        <v>205</v>
      </c>
      <c r="S150" s="56" t="s">
        <v>204</v>
      </c>
      <c r="T150" s="36" t="s">
        <v>204</v>
      </c>
      <c r="U150" s="52"/>
      <c r="V150" s="36" t="s">
        <v>690</v>
      </c>
      <c r="W150" s="52" t="s">
        <v>699</v>
      </c>
      <c r="X150" s="102" t="s">
        <v>724</v>
      </c>
      <c r="Y150" s="56"/>
      <c r="Z150" s="69">
        <v>220</v>
      </c>
      <c r="AA150" s="68"/>
      <c r="AB150" s="69"/>
      <c r="AC150" s="68"/>
      <c r="AD150" s="69">
        <v>220</v>
      </c>
      <c r="AE150" s="68"/>
    </row>
    <row r="151" spans="1:31" ht="22.5">
      <c r="A151" s="82">
        <v>763</v>
      </c>
      <c r="B151" s="96">
        <v>475</v>
      </c>
      <c r="C151" s="97" t="s">
        <v>720</v>
      </c>
      <c r="D151" s="95" t="s">
        <v>698</v>
      </c>
      <c r="E151" s="98"/>
      <c r="F151" s="93">
        <v>0</v>
      </c>
      <c r="G151" s="93">
        <v>0</v>
      </c>
      <c r="H151" s="93">
        <v>0</v>
      </c>
      <c r="I151" s="93">
        <v>0</v>
      </c>
      <c r="J151" s="93">
        <v>0</v>
      </c>
      <c r="K151" s="93">
        <v>-10</v>
      </c>
      <c r="L151" s="93">
        <v>10</v>
      </c>
      <c r="M151" s="99" t="s">
        <v>203</v>
      </c>
      <c r="N151" s="52" t="s">
        <v>706</v>
      </c>
      <c r="O151" s="36" t="s">
        <v>205</v>
      </c>
      <c r="P151" s="36" t="s">
        <v>205</v>
      </c>
      <c r="Q151" s="36" t="s">
        <v>205</v>
      </c>
      <c r="R151" s="36" t="s">
        <v>205</v>
      </c>
      <c r="S151" s="56" t="s">
        <v>204</v>
      </c>
      <c r="T151" s="36" t="s">
        <v>204</v>
      </c>
      <c r="U151" s="52"/>
      <c r="V151" s="36" t="s">
        <v>690</v>
      </c>
      <c r="W151" s="52" t="s">
        <v>700</v>
      </c>
      <c r="X151" s="102" t="s">
        <v>724</v>
      </c>
      <c r="Y151" s="56"/>
      <c r="Z151" s="69">
        <v>221</v>
      </c>
      <c r="AA151" s="68"/>
      <c r="AB151" s="69"/>
      <c r="AC151" s="68"/>
      <c r="AD151" s="69">
        <v>221</v>
      </c>
      <c r="AE151" s="68"/>
    </row>
    <row r="152" spans="1:31" ht="24">
      <c r="A152" s="82">
        <v>763</v>
      </c>
      <c r="B152" s="96">
        <v>476</v>
      </c>
      <c r="C152" s="97" t="s">
        <v>701</v>
      </c>
      <c r="D152" s="95" t="s">
        <v>711</v>
      </c>
      <c r="E152" s="98"/>
      <c r="F152" s="93">
        <v>10</v>
      </c>
      <c r="G152" s="93">
        <v>10</v>
      </c>
      <c r="H152" s="93">
        <v>10</v>
      </c>
      <c r="I152" s="93">
        <v>10</v>
      </c>
      <c r="J152" s="93">
        <v>10</v>
      </c>
      <c r="K152" s="93">
        <v>0</v>
      </c>
      <c r="L152" s="93">
        <v>100</v>
      </c>
      <c r="M152" s="99" t="s">
        <v>200</v>
      </c>
      <c r="N152" s="52" t="s">
        <v>705</v>
      </c>
      <c r="O152" s="36" t="s">
        <v>205</v>
      </c>
      <c r="P152" s="36" t="s">
        <v>205</v>
      </c>
      <c r="Q152" s="36" t="s">
        <v>205</v>
      </c>
      <c r="R152" s="36" t="s">
        <v>205</v>
      </c>
      <c r="S152" s="56" t="s">
        <v>204</v>
      </c>
      <c r="T152" s="36" t="s">
        <v>204</v>
      </c>
      <c r="U152" s="95"/>
      <c r="V152" s="36" t="s">
        <v>653</v>
      </c>
      <c r="W152" s="52" t="s">
        <v>707</v>
      </c>
      <c r="X152" s="102" t="s">
        <v>724</v>
      </c>
      <c r="Y152" s="56"/>
      <c r="Z152" s="69">
        <v>222</v>
      </c>
      <c r="AA152" s="68"/>
      <c r="AB152" s="69"/>
      <c r="AC152" s="68"/>
      <c r="AD152" s="69">
        <v>222</v>
      </c>
      <c r="AE152" s="68"/>
    </row>
    <row r="153" spans="1:31" ht="24">
      <c r="A153" s="82">
        <v>763</v>
      </c>
      <c r="B153" s="96">
        <v>477</v>
      </c>
      <c r="C153" s="97" t="s">
        <v>702</v>
      </c>
      <c r="D153" s="95" t="s">
        <v>712</v>
      </c>
      <c r="E153" s="98"/>
      <c r="F153" s="93">
        <v>10</v>
      </c>
      <c r="G153" s="93">
        <v>10</v>
      </c>
      <c r="H153" s="93">
        <v>10</v>
      </c>
      <c r="I153" s="93">
        <v>10</v>
      </c>
      <c r="J153" s="93">
        <v>10</v>
      </c>
      <c r="K153" s="93">
        <v>0</v>
      </c>
      <c r="L153" s="93">
        <v>100</v>
      </c>
      <c r="M153" s="99" t="s">
        <v>200</v>
      </c>
      <c r="N153" s="52" t="s">
        <v>705</v>
      </c>
      <c r="O153" s="36" t="s">
        <v>205</v>
      </c>
      <c r="P153" s="36" t="s">
        <v>205</v>
      </c>
      <c r="Q153" s="36" t="s">
        <v>205</v>
      </c>
      <c r="R153" s="36" t="s">
        <v>205</v>
      </c>
      <c r="S153" s="56" t="s">
        <v>204</v>
      </c>
      <c r="T153" s="36" t="s">
        <v>204</v>
      </c>
      <c r="U153" s="95"/>
      <c r="V153" s="36" t="s">
        <v>653</v>
      </c>
      <c r="W153" s="52" t="s">
        <v>708</v>
      </c>
      <c r="X153" s="102" t="s">
        <v>724</v>
      </c>
      <c r="Y153" s="56"/>
      <c r="Z153" s="69">
        <v>223</v>
      </c>
      <c r="AA153" s="68"/>
      <c r="AB153" s="69"/>
      <c r="AC153" s="68"/>
      <c r="AD153" s="69">
        <v>223</v>
      </c>
      <c r="AE153" s="68"/>
    </row>
    <row r="154" spans="1:31" ht="24">
      <c r="A154" s="82">
        <v>763</v>
      </c>
      <c r="B154" s="96">
        <v>478</v>
      </c>
      <c r="C154" s="97" t="s">
        <v>703</v>
      </c>
      <c r="D154" s="95" t="s">
        <v>713</v>
      </c>
      <c r="E154" s="98"/>
      <c r="F154" s="93">
        <v>10</v>
      </c>
      <c r="G154" s="93">
        <v>10</v>
      </c>
      <c r="H154" s="93">
        <v>10</v>
      </c>
      <c r="I154" s="93">
        <v>10</v>
      </c>
      <c r="J154" s="93">
        <v>10</v>
      </c>
      <c r="K154" s="93">
        <v>0</v>
      </c>
      <c r="L154" s="93">
        <v>100</v>
      </c>
      <c r="M154" s="99" t="s">
        <v>200</v>
      </c>
      <c r="N154" s="52" t="s">
        <v>705</v>
      </c>
      <c r="O154" s="36" t="s">
        <v>205</v>
      </c>
      <c r="P154" s="36" t="s">
        <v>205</v>
      </c>
      <c r="Q154" s="36" t="s">
        <v>205</v>
      </c>
      <c r="R154" s="36" t="s">
        <v>205</v>
      </c>
      <c r="S154" s="56" t="s">
        <v>204</v>
      </c>
      <c r="T154" s="36" t="s">
        <v>204</v>
      </c>
      <c r="U154" s="95"/>
      <c r="V154" s="36" t="s">
        <v>653</v>
      </c>
      <c r="W154" s="52" t="s">
        <v>709</v>
      </c>
      <c r="X154" s="102" t="s">
        <v>724</v>
      </c>
      <c r="Y154" s="56"/>
      <c r="Z154" s="69">
        <v>224</v>
      </c>
      <c r="AA154" s="68"/>
      <c r="AB154" s="69"/>
      <c r="AC154" s="68"/>
      <c r="AD154" s="69">
        <v>224</v>
      </c>
      <c r="AE154" s="68"/>
    </row>
    <row r="155" spans="1:31" ht="24">
      <c r="A155" s="82">
        <v>763</v>
      </c>
      <c r="B155" s="96">
        <v>479</v>
      </c>
      <c r="C155" s="97" t="s">
        <v>704</v>
      </c>
      <c r="D155" s="95" t="s">
        <v>714</v>
      </c>
      <c r="E155" s="98"/>
      <c r="F155" s="93">
        <v>10</v>
      </c>
      <c r="G155" s="93">
        <v>10</v>
      </c>
      <c r="H155" s="93">
        <v>10</v>
      </c>
      <c r="I155" s="93">
        <v>10</v>
      </c>
      <c r="J155" s="93">
        <v>10</v>
      </c>
      <c r="K155" s="93">
        <v>0</v>
      </c>
      <c r="L155" s="93">
        <v>100</v>
      </c>
      <c r="M155" s="99" t="s">
        <v>200</v>
      </c>
      <c r="N155" s="52" t="s">
        <v>705</v>
      </c>
      <c r="O155" s="36" t="s">
        <v>205</v>
      </c>
      <c r="P155" s="36" t="s">
        <v>205</v>
      </c>
      <c r="Q155" s="36" t="s">
        <v>205</v>
      </c>
      <c r="R155" s="36" t="s">
        <v>205</v>
      </c>
      <c r="S155" s="56" t="s">
        <v>204</v>
      </c>
      <c r="T155" s="36" t="s">
        <v>204</v>
      </c>
      <c r="U155" s="95"/>
      <c r="V155" s="36" t="s">
        <v>653</v>
      </c>
      <c r="W155" s="52" t="s">
        <v>710</v>
      </c>
      <c r="X155" s="102" t="s">
        <v>724</v>
      </c>
      <c r="Y155" s="56"/>
      <c r="Z155" s="69">
        <v>225</v>
      </c>
      <c r="AA155" s="68"/>
      <c r="AB155" s="69"/>
      <c r="AC155" s="68"/>
      <c r="AD155" s="69">
        <v>225</v>
      </c>
      <c r="AE155" s="68"/>
    </row>
    <row r="156" spans="1:31">
      <c r="A156" s="96"/>
      <c r="B156" s="96"/>
      <c r="C156" s="97"/>
      <c r="D156" s="95"/>
      <c r="E156" s="98"/>
      <c r="F156" s="93"/>
      <c r="G156" s="93"/>
      <c r="H156" s="93"/>
      <c r="I156" s="93"/>
      <c r="J156" s="93"/>
      <c r="K156" s="93"/>
      <c r="L156" s="93"/>
      <c r="M156" s="99"/>
      <c r="N156" s="95"/>
      <c r="O156" s="100"/>
      <c r="P156" s="100"/>
      <c r="Q156" s="100"/>
      <c r="R156" s="100"/>
      <c r="S156" s="101"/>
      <c r="T156" s="100"/>
      <c r="U156" s="95"/>
      <c r="V156" s="100"/>
      <c r="W156" s="95"/>
      <c r="X156" s="102"/>
      <c r="Y156" s="56"/>
      <c r="Z156" s="69"/>
      <c r="AA156" s="68"/>
      <c r="AB156" s="69"/>
      <c r="AC156" s="68"/>
      <c r="AD156" s="69"/>
      <c r="AE156" s="68"/>
    </row>
  </sheetData>
  <sheetProtection sheet="1" objects="1" scenarios="1" formatCells="0" formatColumns="0" formatRows="0" insertRows="0" deleteRows="0" autoFilter="0"/>
  <autoFilter ref="A1:AE155">
    <filterColumn colId="5" showButton="0"/>
    <filterColumn colId="6" showButton="0"/>
    <filterColumn colId="7" showButton="0"/>
    <filterColumn colId="8" showButton="0"/>
    <filterColumn colId="10" showButton="0"/>
  </autoFilter>
  <mergeCells count="2">
    <mergeCell ref="K1:L1"/>
    <mergeCell ref="F1:J1"/>
  </mergeCells>
  <phoneticPr fontId="1"/>
  <conditionalFormatting sqref="A3:AE3 R5:R121 A4:W15 Y4:AE15">
    <cfRule type="expression" dxfId="27" priority="56">
      <formula>$Y3="○"</formula>
    </cfRule>
  </conditionalFormatting>
  <conditionalFormatting sqref="B3:B16 B15:Q15 B3:Q5 V3:W15 C3:Q15">
    <cfRule type="expression" dxfId="26" priority="36">
      <formula>$X3="○"</formula>
    </cfRule>
  </conditionalFormatting>
  <conditionalFormatting sqref="R122">
    <cfRule type="expression" dxfId="25" priority="26">
      <formula>$Y122="○"</formula>
    </cfRule>
  </conditionalFormatting>
  <conditionalFormatting sqref="R123">
    <cfRule type="expression" dxfId="24" priority="25">
      <formula>$Y123="○"</formula>
    </cfRule>
  </conditionalFormatting>
  <conditionalFormatting sqref="R124">
    <cfRule type="expression" dxfId="23" priority="24">
      <formula>$Y124="○"</formula>
    </cfRule>
  </conditionalFormatting>
  <conditionalFormatting sqref="R125">
    <cfRule type="expression" dxfId="22" priority="23">
      <formula>$Y125="○"</formula>
    </cfRule>
  </conditionalFormatting>
  <conditionalFormatting sqref="R126">
    <cfRule type="expression" dxfId="21" priority="22">
      <formula>$Y126="○"</formula>
    </cfRule>
  </conditionalFormatting>
  <conditionalFormatting sqref="R127">
    <cfRule type="expression" dxfId="20" priority="21">
      <formula>$Y127="○"</formula>
    </cfRule>
  </conditionalFormatting>
  <conditionalFormatting sqref="R128">
    <cfRule type="expression" dxfId="19" priority="20">
      <formula>$Y128="○"</formula>
    </cfRule>
  </conditionalFormatting>
  <conditionalFormatting sqref="R129">
    <cfRule type="expression" dxfId="18" priority="19">
      <formula>$Y129="○"</formula>
    </cfRule>
  </conditionalFormatting>
  <conditionalFormatting sqref="R130">
    <cfRule type="expression" dxfId="17" priority="18">
      <formula>$Y130="○"</formula>
    </cfRule>
  </conditionalFormatting>
  <conditionalFormatting sqref="R131">
    <cfRule type="expression" dxfId="16" priority="17">
      <formula>$Y131="○"</formula>
    </cfRule>
  </conditionalFormatting>
  <conditionalFormatting sqref="R132">
    <cfRule type="expression" dxfId="15" priority="16">
      <formula>$Y132="○"</formula>
    </cfRule>
  </conditionalFormatting>
  <conditionalFormatting sqref="R133">
    <cfRule type="expression" dxfId="14" priority="15">
      <formula>$Y133="○"</formula>
    </cfRule>
  </conditionalFormatting>
  <conditionalFormatting sqref="R134">
    <cfRule type="expression" dxfId="13" priority="14">
      <formula>$Y134="○"</formula>
    </cfRule>
  </conditionalFormatting>
  <conditionalFormatting sqref="R135">
    <cfRule type="expression" dxfId="12" priority="13">
      <formula>$Y135="○"</formula>
    </cfRule>
  </conditionalFormatting>
  <conditionalFormatting sqref="R136:R137">
    <cfRule type="expression" dxfId="11" priority="12">
      <formula>$Y136="○"</formula>
    </cfRule>
  </conditionalFormatting>
  <conditionalFormatting sqref="R138">
    <cfRule type="expression" dxfId="10" priority="11">
      <formula>$Y138="○"</formula>
    </cfRule>
  </conditionalFormatting>
  <conditionalFormatting sqref="R139">
    <cfRule type="expression" dxfId="9" priority="10">
      <formula>$Y139="○"</formula>
    </cfRule>
  </conditionalFormatting>
  <conditionalFormatting sqref="R140">
    <cfRule type="expression" dxfId="8" priority="9">
      <formula>$Y140="○"</formula>
    </cfRule>
  </conditionalFormatting>
  <conditionalFormatting sqref="R141">
    <cfRule type="expression" dxfId="7" priority="8">
      <formula>$Y141="○"</formula>
    </cfRule>
  </conditionalFormatting>
  <conditionalFormatting sqref="R142">
    <cfRule type="expression" dxfId="6" priority="7">
      <formula>$Y142="○"</formula>
    </cfRule>
  </conditionalFormatting>
  <conditionalFormatting sqref="R144">
    <cfRule type="expression" dxfId="5" priority="6">
      <formula>$Y144="○"</formula>
    </cfRule>
  </conditionalFormatting>
  <conditionalFormatting sqref="R143">
    <cfRule type="expression" dxfId="4" priority="5">
      <formula>$Y143="○"</formula>
    </cfRule>
  </conditionalFormatting>
  <conditionalFormatting sqref="R145">
    <cfRule type="expression" dxfId="3" priority="4">
      <formula>$Y145="○"</formula>
    </cfRule>
  </conditionalFormatting>
  <conditionalFormatting sqref="R146:R155">
    <cfRule type="expression" dxfId="2" priority="3">
      <formula>$Y146="○"</formula>
    </cfRule>
  </conditionalFormatting>
  <conditionalFormatting sqref="R156 X156">
    <cfRule type="expression" dxfId="1" priority="2">
      <formula>$Y156="○"</formula>
    </cfRule>
  </conditionalFormatting>
  <conditionalFormatting sqref="X4:X155">
    <cfRule type="expression" dxfId="0" priority="1">
      <formula>$Y4="○"</formula>
    </cfRule>
  </conditionalFormatting>
  <dataValidations count="6">
    <dataValidation type="list" allowBlank="1" showInputMessage="1" showErrorMessage="1" sqref="N16 M3:M140 M142:M156">
      <formula1>"UC,US,UL,SC,SS,SL"</formula1>
    </dataValidation>
    <dataValidation type="list" allowBlank="1" showInputMessage="1" showErrorMessage="1" sqref="AC3:AC140 AC142:AC156">
      <formula1>"Folder,Booklet"</formula1>
    </dataValidation>
    <dataValidation type="list" allowBlank="1" showInputMessage="1" showErrorMessage="1" sqref="AA3:AA140 AA142:AA156">
      <formula1>"Save"</formula1>
    </dataValidation>
    <dataValidation type="list" allowBlank="1" showInputMessage="1" showErrorMessage="1" sqref="O3:Q16 R3:R140 R142:R156">
      <formula1>"○, ×"</formula1>
    </dataValidation>
    <dataValidation type="list" allowBlank="1" showInputMessage="1" showErrorMessage="1" sqref="S3:T16">
      <formula1>"○,×"</formula1>
    </dataValidation>
    <dataValidation type="list" allowBlank="1" showInputMessage="1" showErrorMessage="1" sqref="AE3:AE140 Y3:Y140 AE142:AE156 Y142:Y156">
      <formula1>"○"</formula1>
    </dataValidation>
  </dataValidations>
  <pageMargins left="0.62992125984251968" right="0.62992125984251968" top="0.74803149606299213" bottom="0.74803149606299213" header="0.31496062992125984" footer="0.31496062992125984"/>
  <pageSetup paperSize="9" scale="60" fitToHeight="0" orientation="landscape" horizontalDpi="300" verticalDpi="300" r:id="rId1"/>
  <headerFooter alignWithMargins="0">
    <oddHeader>&amp;L&amp;"HG丸ｺﾞｼｯｸM-PRO,標準"&amp;20NVM List(Global A-Finisher)&amp;R&amp;"HG丸ｺﾞｼｯｸM-PRO,標準"&amp;20動作仕様書第1版</oddHeader>
    <oddFooter>&amp;L&amp;"Xerox Sans,標準"&amp;14&amp;D&amp;C&amp;"Xerox Sans,標準"&amp;14&amp;P&amp;"ＭＳ Ｐゴシック,標準"／&amp;"Xerox Sans,標準"&amp;N&amp;R&amp;"HG丸ｺﾞｼｯｸM-PRO,標準"&amp;14富士ゼロックスアドバンストテクノロジー株式会社</oddFooter>
  </headerFooter>
</worksheet>
</file>

<file path=xl/worksheets/sheet4.xml><?xml version="1.0" encoding="utf-8"?>
<worksheet xmlns="http://schemas.openxmlformats.org/spreadsheetml/2006/main" xmlns:r="http://schemas.openxmlformats.org/officeDocument/2006/relationships">
  <sheetPr codeName="Sheet3"/>
  <dimension ref="A1:N84"/>
  <sheetViews>
    <sheetView topLeftCell="A10" zoomScale="85" zoomScaleNormal="85" workbookViewId="0">
      <selection activeCell="L23" sqref="L23"/>
    </sheetView>
  </sheetViews>
  <sheetFormatPr defaultRowHeight="13.5"/>
  <cols>
    <col min="9" max="9" width="14.625" bestFit="1" customWidth="1"/>
    <col min="12" max="12" width="13.125" customWidth="1"/>
    <col min="13" max="13" width="11.625" bestFit="1" customWidth="1"/>
  </cols>
  <sheetData>
    <row r="1" spans="2:13" s="18" customFormat="1" ht="15"/>
    <row r="2" spans="2:13" s="18" customFormat="1" ht="15.75">
      <c r="B2" s="19" t="s">
        <v>33</v>
      </c>
    </row>
    <row r="3" spans="2:13" s="18" customFormat="1" ht="15"/>
    <row r="4" spans="2:13" s="18" customFormat="1" ht="15.75">
      <c r="B4" s="20" t="s">
        <v>34</v>
      </c>
    </row>
    <row r="5" spans="2:13" s="18" customFormat="1" ht="15.75">
      <c r="B5" s="20"/>
      <c r="C5" s="21" t="s">
        <v>35</v>
      </c>
    </row>
    <row r="6" spans="2:13" s="18" customFormat="1" ht="15.75">
      <c r="B6" s="20"/>
      <c r="D6" s="18" t="s">
        <v>36</v>
      </c>
    </row>
    <row r="7" spans="2:13" s="18" customFormat="1" ht="15.75">
      <c r="B7" s="20"/>
      <c r="D7" s="18" t="s">
        <v>37</v>
      </c>
    </row>
    <row r="8" spans="2:13" s="18" customFormat="1" ht="15"/>
    <row r="9" spans="2:13">
      <c r="C9" s="11" t="s">
        <v>38</v>
      </c>
    </row>
    <row r="10" spans="2:13" s="10" customFormat="1">
      <c r="D10" s="11" t="s">
        <v>39</v>
      </c>
      <c r="G10" s="11"/>
    </row>
    <row r="11" spans="2:13">
      <c r="B11" s="1"/>
      <c r="G11" s="1" t="s">
        <v>0</v>
      </c>
      <c r="H11" s="2"/>
      <c r="I11" s="2"/>
      <c r="J11" s="3" t="s">
        <v>1</v>
      </c>
      <c r="K11" s="3" t="s">
        <v>2</v>
      </c>
      <c r="L11" s="3" t="s">
        <v>3</v>
      </c>
      <c r="M11" s="3" t="s">
        <v>4</v>
      </c>
    </row>
    <row r="12" spans="2:13">
      <c r="H12" s="3" t="s">
        <v>5</v>
      </c>
      <c r="I12" s="3" t="s">
        <v>6</v>
      </c>
      <c r="J12" s="3" t="s">
        <v>7</v>
      </c>
      <c r="K12" s="2">
        <v>8</v>
      </c>
      <c r="L12" s="2">
        <v>0</v>
      </c>
      <c r="M12" s="2">
        <f>2^$K12-1</f>
        <v>255</v>
      </c>
    </row>
    <row r="13" spans="2:13">
      <c r="H13" s="3" t="s">
        <v>8</v>
      </c>
      <c r="I13" s="3" t="s">
        <v>9</v>
      </c>
      <c r="J13" s="3" t="s">
        <v>10</v>
      </c>
      <c r="K13" s="2">
        <v>8</v>
      </c>
      <c r="L13" s="2">
        <f>-(2^$K13/2)</f>
        <v>-128</v>
      </c>
      <c r="M13" s="2">
        <f>2^$K13/2-1</f>
        <v>127</v>
      </c>
    </row>
    <row r="14" spans="2:13">
      <c r="H14" s="3" t="s">
        <v>11</v>
      </c>
      <c r="I14" s="3" t="s">
        <v>12</v>
      </c>
      <c r="J14" s="3" t="s">
        <v>7</v>
      </c>
      <c r="K14" s="2">
        <v>16</v>
      </c>
      <c r="L14" s="2">
        <v>0</v>
      </c>
      <c r="M14" s="2">
        <f>2^$K14-1</f>
        <v>65535</v>
      </c>
    </row>
    <row r="15" spans="2:13">
      <c r="H15" s="3" t="s">
        <v>13</v>
      </c>
      <c r="I15" s="3" t="s">
        <v>9</v>
      </c>
      <c r="J15" s="3" t="s">
        <v>10</v>
      </c>
      <c r="K15" s="2">
        <v>16</v>
      </c>
      <c r="L15" s="2">
        <f>-(2^$K15/2)</f>
        <v>-32768</v>
      </c>
      <c r="M15" s="2">
        <f>2^$K15/2-1</f>
        <v>32767</v>
      </c>
    </row>
    <row r="16" spans="2:13">
      <c r="H16" s="3" t="s">
        <v>14</v>
      </c>
      <c r="I16" s="3" t="s">
        <v>15</v>
      </c>
      <c r="J16" s="3" t="s">
        <v>7</v>
      </c>
      <c r="K16" s="2">
        <v>32</v>
      </c>
      <c r="L16" s="2">
        <v>0</v>
      </c>
      <c r="M16" s="2">
        <f>2^$K16-1</f>
        <v>4294967295</v>
      </c>
    </row>
    <row r="17" spans="2:14">
      <c r="H17" s="3" t="s">
        <v>16</v>
      </c>
      <c r="I17" s="3" t="s">
        <v>17</v>
      </c>
      <c r="J17" s="3" t="s">
        <v>10</v>
      </c>
      <c r="K17" s="2">
        <v>32</v>
      </c>
      <c r="L17" s="2">
        <f>-(2^$K17/2)</f>
        <v>-2147483648</v>
      </c>
      <c r="M17" s="2">
        <f>2^$K17/2-1</f>
        <v>2147483647</v>
      </c>
    </row>
    <row r="18" spans="2:14" s="18" customFormat="1" ht="15.75">
      <c r="C18" s="22" t="s">
        <v>102</v>
      </c>
    </row>
    <row r="19" spans="2:14" s="18" customFormat="1" ht="15.75">
      <c r="C19" s="19"/>
      <c r="D19" s="18" t="s">
        <v>105</v>
      </c>
    </row>
    <row r="20" spans="2:14" s="18" customFormat="1" ht="15.75">
      <c r="C20" s="19"/>
      <c r="D20" s="1" t="s">
        <v>18</v>
      </c>
    </row>
    <row r="21" spans="2:14" s="18" customFormat="1" ht="15.75">
      <c r="C21" s="19"/>
      <c r="D21" s="1" t="s">
        <v>27</v>
      </c>
    </row>
    <row r="25" spans="2:14" s="18" customFormat="1" ht="15.75">
      <c r="C25" s="22" t="s">
        <v>103</v>
      </c>
    </row>
    <row r="26" spans="2:14" s="18" customFormat="1" ht="15">
      <c r="D26" s="18" t="s">
        <v>40</v>
      </c>
    </row>
    <row r="27" spans="2:14" s="18" customFormat="1" ht="15"/>
    <row r="28" spans="2:14" s="10" customFormat="1">
      <c r="B28" s="11"/>
      <c r="G28" s="17"/>
      <c r="H28" s="16"/>
      <c r="I28" s="16"/>
      <c r="J28" s="16"/>
      <c r="K28" s="16"/>
      <c r="L28" s="16"/>
      <c r="N28" s="11"/>
    </row>
    <row r="29" spans="2:14" s="10" customFormat="1">
      <c r="G29" s="17"/>
      <c r="H29" s="16"/>
      <c r="I29" s="16"/>
      <c r="J29" s="16"/>
      <c r="K29" s="16"/>
      <c r="L29" s="16"/>
    </row>
    <row r="30" spans="2:14" s="23" customFormat="1" ht="15">
      <c r="G30" s="23" t="s">
        <v>41</v>
      </c>
      <c r="H30" s="24"/>
      <c r="J30" s="24"/>
      <c r="K30" s="24"/>
      <c r="L30" s="24"/>
    </row>
    <row r="31" spans="2:14" s="18" customFormat="1" ht="15">
      <c r="D31" s="119" t="s">
        <v>42</v>
      </c>
      <c r="E31" s="120"/>
      <c r="F31" s="25" t="s">
        <v>43</v>
      </c>
      <c r="G31" s="26"/>
      <c r="H31" s="26"/>
      <c r="I31" s="26"/>
    </row>
    <row r="32" spans="2:14" s="18" customFormat="1" ht="15">
      <c r="D32" s="121" t="s">
        <v>44</v>
      </c>
      <c r="E32" s="122"/>
      <c r="F32" s="27">
        <v>226</v>
      </c>
      <c r="G32" s="26"/>
      <c r="H32" s="26"/>
      <c r="I32" s="26"/>
    </row>
    <row r="33" spans="2:9" s="18" customFormat="1" ht="15">
      <c r="D33" s="121" t="s">
        <v>45</v>
      </c>
      <c r="E33" s="122"/>
      <c r="F33" s="27">
        <v>256</v>
      </c>
      <c r="G33" s="26"/>
      <c r="H33" s="26"/>
      <c r="I33" s="18" t="s">
        <v>46</v>
      </c>
    </row>
    <row r="34" spans="2:9" s="18" customFormat="1" ht="15">
      <c r="D34" s="123" t="s">
        <v>47</v>
      </c>
      <c r="E34" s="124"/>
      <c r="F34" s="28">
        <v>2016</v>
      </c>
      <c r="G34" s="26"/>
      <c r="H34" s="26"/>
      <c r="I34" s="26"/>
    </row>
    <row r="35" spans="2:9" s="18" customFormat="1" ht="15">
      <c r="D35" s="23"/>
      <c r="E35" s="23"/>
      <c r="F35" s="23"/>
      <c r="G35" s="23"/>
      <c r="H35" s="23"/>
      <c r="I35" s="23"/>
    </row>
    <row r="36" spans="2:9" s="23" customFormat="1" ht="15.75">
      <c r="C36" s="19" t="s">
        <v>104</v>
      </c>
    </row>
    <row r="37" spans="2:9" s="23" customFormat="1" ht="15">
      <c r="D37" s="23" t="s">
        <v>48</v>
      </c>
    </row>
    <row r="38" spans="2:9" s="23" customFormat="1" ht="15"/>
    <row r="39" spans="2:9" s="10" customFormat="1"/>
    <row r="40" spans="2:9" s="10" customFormat="1"/>
    <row r="41" spans="2:9" s="10" customFormat="1"/>
    <row r="42" spans="2:9" s="10" customFormat="1"/>
    <row r="43" spans="2:9" s="23" customFormat="1" ht="15.75">
      <c r="B43" s="19" t="s">
        <v>49</v>
      </c>
    </row>
    <row r="44" spans="2:9" s="18" customFormat="1" ht="15">
      <c r="C44" s="18" t="s">
        <v>50</v>
      </c>
    </row>
    <row r="45" spans="2:9" s="18" customFormat="1" ht="15">
      <c r="B45" s="23"/>
      <c r="C45" s="23" t="s">
        <v>51</v>
      </c>
      <c r="D45" s="23"/>
      <c r="E45" s="23"/>
      <c r="F45" s="23"/>
      <c r="G45" s="23"/>
      <c r="H45" s="23"/>
      <c r="I45" s="23"/>
    </row>
    <row r="46" spans="2:9" s="23" customFormat="1" ht="15.75">
      <c r="B46" s="19"/>
      <c r="C46" s="18" t="s">
        <v>52</v>
      </c>
    </row>
    <row r="47" spans="2:9" s="18" customFormat="1" ht="15">
      <c r="D47" s="18" t="s">
        <v>53</v>
      </c>
    </row>
    <row r="48" spans="2:9" s="18" customFormat="1" ht="15">
      <c r="D48" s="18" t="s">
        <v>54</v>
      </c>
    </row>
    <row r="49" spans="1:13" s="18" customFormat="1" ht="15">
      <c r="D49" s="18" t="s">
        <v>55</v>
      </c>
    </row>
    <row r="50" spans="1:13" s="18" customFormat="1" ht="15">
      <c r="D50" s="18" t="s">
        <v>56</v>
      </c>
    </row>
    <row r="51" spans="1:13" s="18" customFormat="1" ht="15">
      <c r="C51" s="18" t="s">
        <v>57</v>
      </c>
    </row>
    <row r="52" spans="1:13" s="18" customFormat="1" ht="15">
      <c r="D52" s="18" t="s">
        <v>58</v>
      </c>
    </row>
    <row r="53" spans="1:13" s="18" customFormat="1" ht="15">
      <c r="D53" s="18" t="s">
        <v>59</v>
      </c>
    </row>
    <row r="54" spans="1:13" s="18" customFormat="1" ht="15"/>
    <row r="55" spans="1:13" s="18" customFormat="1" ht="15">
      <c r="A55" s="29"/>
      <c r="C55" s="18" t="s">
        <v>60</v>
      </c>
    </row>
    <row r="56" spans="1:13" s="18" customFormat="1" ht="15">
      <c r="A56" s="29"/>
      <c r="D56" s="18" t="s">
        <v>61</v>
      </c>
    </row>
    <row r="57" spans="1:13" s="18" customFormat="1" ht="15">
      <c r="D57" s="18" t="s">
        <v>62</v>
      </c>
    </row>
    <row r="58" spans="1:13" s="18" customFormat="1" ht="15"/>
    <row r="59" spans="1:13" s="18" customFormat="1" ht="15">
      <c r="A59" s="29"/>
      <c r="C59" s="29" t="s">
        <v>63</v>
      </c>
      <c r="D59" s="29"/>
      <c r="E59" s="29"/>
      <c r="F59" s="29"/>
      <c r="G59" s="29"/>
      <c r="H59" s="29"/>
    </row>
    <row r="60" spans="1:13" s="18" customFormat="1" ht="15">
      <c r="A60" s="29"/>
      <c r="D60" s="29" t="s">
        <v>64</v>
      </c>
      <c r="E60" s="29"/>
      <c r="F60" s="29"/>
      <c r="G60" s="29"/>
      <c r="H60" s="29"/>
      <c r="K60" s="30" t="s">
        <v>65</v>
      </c>
      <c r="L60" s="30" t="s">
        <v>66</v>
      </c>
      <c r="M60" s="30" t="s">
        <v>67</v>
      </c>
    </row>
    <row r="61" spans="1:13" s="18" customFormat="1" ht="15">
      <c r="A61" s="29"/>
      <c r="D61" s="29" t="s">
        <v>68</v>
      </c>
      <c r="E61" s="29"/>
      <c r="F61" s="29"/>
      <c r="G61" s="29"/>
      <c r="H61" s="29"/>
      <c r="K61" s="31" t="s">
        <v>69</v>
      </c>
      <c r="L61" s="31" t="s">
        <v>70</v>
      </c>
      <c r="M61" s="31">
        <v>199</v>
      </c>
    </row>
    <row r="62" spans="1:13" s="18" customFormat="1" ht="15">
      <c r="A62" s="29"/>
      <c r="C62" s="29"/>
      <c r="D62" s="29"/>
      <c r="E62" s="29"/>
      <c r="F62" s="29"/>
      <c r="G62" s="29"/>
      <c r="H62" s="29"/>
      <c r="K62" s="31" t="s">
        <v>71</v>
      </c>
      <c r="L62" s="31" t="s">
        <v>72</v>
      </c>
      <c r="M62" s="31">
        <v>50</v>
      </c>
    </row>
    <row r="63" spans="1:13" s="18" customFormat="1" ht="15">
      <c r="A63" s="29"/>
      <c r="G63" s="29"/>
      <c r="K63" s="31" t="s">
        <v>26</v>
      </c>
      <c r="L63" s="31" t="s">
        <v>73</v>
      </c>
      <c r="M63" s="31">
        <v>50</v>
      </c>
    </row>
    <row r="64" spans="1:13" s="18" customFormat="1" ht="15">
      <c r="A64" s="29"/>
      <c r="G64" s="29"/>
      <c r="K64" s="32" t="s">
        <v>74</v>
      </c>
      <c r="L64" s="31" t="s">
        <v>75</v>
      </c>
      <c r="M64" s="32">
        <v>50</v>
      </c>
    </row>
    <row r="65" spans="1:13" s="18" customFormat="1" ht="15">
      <c r="A65" s="29"/>
      <c r="G65" s="29"/>
      <c r="K65" s="32" t="s">
        <v>76</v>
      </c>
      <c r="L65" s="31" t="s">
        <v>77</v>
      </c>
      <c r="M65" s="32">
        <v>50</v>
      </c>
    </row>
    <row r="66" spans="1:13" s="18" customFormat="1" ht="15">
      <c r="A66" s="29"/>
      <c r="G66" s="29"/>
      <c r="K66" s="32" t="s">
        <v>78</v>
      </c>
      <c r="L66" s="31" t="s">
        <v>79</v>
      </c>
      <c r="M66" s="32">
        <v>100</v>
      </c>
    </row>
    <row r="67" spans="1:13" s="18" customFormat="1" ht="15">
      <c r="A67" s="29"/>
      <c r="G67" s="29"/>
      <c r="K67" s="33" t="s">
        <v>80</v>
      </c>
      <c r="L67" s="33" t="s">
        <v>81</v>
      </c>
      <c r="M67" s="33">
        <v>100</v>
      </c>
    </row>
    <row r="68" spans="1:13" s="18" customFormat="1" ht="15">
      <c r="A68" s="29"/>
      <c r="G68" s="29"/>
      <c r="K68" s="32" t="s">
        <v>82</v>
      </c>
      <c r="L68" s="31" t="s">
        <v>83</v>
      </c>
      <c r="M68" s="32">
        <v>50</v>
      </c>
    </row>
    <row r="69" spans="1:13" s="18" customFormat="1" ht="15">
      <c r="A69" s="29"/>
      <c r="G69" s="34"/>
      <c r="K69" s="32" t="s">
        <v>84</v>
      </c>
      <c r="L69" s="31" t="s">
        <v>85</v>
      </c>
      <c r="M69" s="32">
        <v>50</v>
      </c>
    </row>
    <row r="70" spans="1:13" s="18" customFormat="1" ht="15">
      <c r="A70" s="29"/>
      <c r="G70" s="29"/>
      <c r="K70" s="32" t="s">
        <v>86</v>
      </c>
      <c r="L70" s="31" t="s">
        <v>87</v>
      </c>
      <c r="M70" s="32">
        <v>100</v>
      </c>
    </row>
    <row r="71" spans="1:13" s="18" customFormat="1" ht="15">
      <c r="A71" s="29"/>
      <c r="G71" s="29"/>
      <c r="K71" s="32" t="s">
        <v>88</v>
      </c>
      <c r="L71" s="31" t="s">
        <v>89</v>
      </c>
      <c r="M71" s="32">
        <v>100</v>
      </c>
    </row>
    <row r="72" spans="1:13" s="18" customFormat="1" ht="15">
      <c r="A72" s="29"/>
      <c r="G72" s="29"/>
      <c r="K72" s="32" t="s">
        <v>90</v>
      </c>
      <c r="L72" s="31" t="s">
        <v>91</v>
      </c>
      <c r="M72" s="32">
        <v>50</v>
      </c>
    </row>
    <row r="73" spans="1:13" s="18" customFormat="1" ht="15">
      <c r="A73" s="29"/>
      <c r="G73" s="29"/>
      <c r="K73" s="33" t="s">
        <v>80</v>
      </c>
      <c r="L73" s="33" t="s">
        <v>92</v>
      </c>
      <c r="M73" s="33">
        <v>50</v>
      </c>
    </row>
    <row r="74" spans="1:13" s="23" customFormat="1" ht="15">
      <c r="B74" s="18"/>
      <c r="C74" s="18"/>
      <c r="D74" s="18"/>
      <c r="E74" s="18"/>
      <c r="F74" s="18"/>
      <c r="G74" s="18"/>
      <c r="H74" s="18"/>
      <c r="I74" s="18"/>
    </row>
    <row r="75" spans="1:13" s="18" customFormat="1" ht="15">
      <c r="B75" s="18" t="s">
        <v>93</v>
      </c>
    </row>
    <row r="76" spans="1:13" s="18" customFormat="1" ht="15">
      <c r="C76" s="18" t="s">
        <v>94</v>
      </c>
    </row>
    <row r="77" spans="1:13" s="18" customFormat="1" ht="15"/>
    <row r="78" spans="1:13" s="18" customFormat="1" ht="15">
      <c r="C78" s="18" t="s">
        <v>95</v>
      </c>
    </row>
    <row r="79" spans="1:13" s="18" customFormat="1" ht="15">
      <c r="C79" s="18" t="s">
        <v>96</v>
      </c>
    </row>
    <row r="80" spans="1:13" s="18" customFormat="1" ht="15">
      <c r="C80" s="18" t="s">
        <v>97</v>
      </c>
    </row>
    <row r="81" spans="3:3" s="18" customFormat="1" ht="15">
      <c r="C81" s="18" t="s">
        <v>98</v>
      </c>
    </row>
    <row r="82" spans="3:3" s="18" customFormat="1" ht="15">
      <c r="C82" s="18" t="s">
        <v>99</v>
      </c>
    </row>
    <row r="83" spans="3:3" s="18" customFormat="1" ht="15">
      <c r="C83" s="18" t="s">
        <v>100</v>
      </c>
    </row>
    <row r="84" spans="3:3" s="18" customFormat="1" ht="15">
      <c r="C84" s="18" t="s">
        <v>101</v>
      </c>
    </row>
  </sheetData>
  <sheetProtection sheet="1" objects="1" scenarios="1"/>
  <mergeCells count="4">
    <mergeCell ref="D31:E31"/>
    <mergeCell ref="D32:E32"/>
    <mergeCell ref="D33:E33"/>
    <mergeCell ref="D34:E34"/>
  </mergeCells>
  <phoneticPr fontId="1"/>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4</vt:i4>
      </vt:variant>
    </vt:vector>
  </HeadingPairs>
  <TitlesOfParts>
    <vt:vector size="8" baseType="lpstr">
      <vt:lpstr>表紙</vt:lpstr>
      <vt:lpstr>改訂履歴</vt:lpstr>
      <vt:lpstr>リスト</vt:lpstr>
      <vt:lpstr>ソース生成</vt:lpstr>
      <vt:lpstr>リスト!Print_Area</vt:lpstr>
      <vt:lpstr>改訂履歴!Print_Area</vt:lpstr>
      <vt:lpstr>リスト!Print_Titles</vt:lpstr>
      <vt:lpstr>改訂履歴!Print_Titles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fxat KUMOKIRI KEITA</dc:creator>
  <cp:lastModifiedBy>fxkrnd</cp:lastModifiedBy>
  <cp:lastPrinted>2015-04-13T10:13:55Z</cp:lastPrinted>
  <dcterms:created xsi:type="dcterms:W3CDTF">1997-01-08T22:48:59Z</dcterms:created>
  <dcterms:modified xsi:type="dcterms:W3CDTF">2016-05-20T00:59:39Z</dcterms:modified>
</cp:coreProperties>
</file>